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60" yWindow="1095" windowWidth="26715" windowHeight="10155" activeTab="1"/>
  </bookViews>
  <sheets>
    <sheet name="modelo_ofertas_fcm" sheetId="1" r:id="rId1"/>
    <sheet name="Plan1" sheetId="2" r:id="rId2"/>
  </sheets>
  <calcPr calcId="0"/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" i="1"/>
</calcChain>
</file>

<file path=xl/sharedStrings.xml><?xml version="1.0" encoding="utf-8"?>
<sst xmlns="http://schemas.openxmlformats.org/spreadsheetml/2006/main" count="1956" uniqueCount="142">
  <si>
    <t>﻿cpf_professor</t>
  </si>
  <si>
    <t>nome_professor</t>
  </si>
  <si>
    <t>disciplina_id</t>
  </si>
  <si>
    <t>descr_d</t>
  </si>
  <si>
    <t>turma_id</t>
  </si>
  <si>
    <t>serie_turma</t>
  </si>
  <si>
    <t>master</t>
  </si>
  <si>
    <t>DAVID DOS SANTOS DA COSTA</t>
  </si>
  <si>
    <t>LÍNGUA PORTUGUESA</t>
  </si>
  <si>
    <t>9º ano A</t>
  </si>
  <si>
    <t>adeanderson</t>
  </si>
  <si>
    <t>ANTONIO ADEANDERSON BATISTA DE SOUZA</t>
  </si>
  <si>
    <t>MATEMÁTICA</t>
  </si>
  <si>
    <t>7º Ano A</t>
  </si>
  <si>
    <t>GESTÃO ESCOLAR</t>
  </si>
  <si>
    <t>7º Ano B</t>
  </si>
  <si>
    <t>alice</t>
  </si>
  <si>
    <t>ALICE DE DA SILVA HERCULANO</t>
  </si>
  <si>
    <t>ATIVIDADE COMPLEMENTAR DE MATEMÁTICA</t>
  </si>
  <si>
    <t>7º Ano C</t>
  </si>
  <si>
    <t>ana</t>
  </si>
  <si>
    <t>ANA ALICE PEREIRA SOARES</t>
  </si>
  <si>
    <t>ADMINISTRADOR</t>
  </si>
  <si>
    <t>7º Ano D</t>
  </si>
  <si>
    <t>antonio</t>
  </si>
  <si>
    <t>ANTONIO DOS SANTOS DA SILVA</t>
  </si>
  <si>
    <t>LINGUA ESTRANGEIRA</t>
  </si>
  <si>
    <t>8º Ano A</t>
  </si>
  <si>
    <t>cleane</t>
  </si>
  <si>
    <t>CLEANE DE AGUIAR DE SOUSA</t>
  </si>
  <si>
    <t>ARTE E EDUCAÇÃO</t>
  </si>
  <si>
    <t>8º Ano B</t>
  </si>
  <si>
    <t>daniele</t>
  </si>
  <si>
    <t>DANIELE QUEIROZ LIMA</t>
  </si>
  <si>
    <t>ATIVIDADE COMPLEMENTAR DE PORTUGUÊS</t>
  </si>
  <si>
    <t>8º Ano C</t>
  </si>
  <si>
    <t>daniely</t>
  </si>
  <si>
    <t>DANIELY CARDOSO DO NASCIMENTO</t>
  </si>
  <si>
    <t>CIDADANIA E RESPONSABILIDADE SOCIAL</t>
  </si>
  <si>
    <t>8º Ano D</t>
  </si>
  <si>
    <t>david</t>
  </si>
  <si>
    <t>CIÊNCIAS</t>
  </si>
  <si>
    <t>9º Ano B</t>
  </si>
  <si>
    <t>edson</t>
  </si>
  <si>
    <t>FRANCISCO EDSON GOMES DA SILVA FILHO</t>
  </si>
  <si>
    <t>EDUCAÇÃO FÍSICA</t>
  </si>
  <si>
    <t>9º Ano C</t>
  </si>
  <si>
    <t>eduarda</t>
  </si>
  <si>
    <t>MARIA EDUARDA TAVORA DE ALBUQUERQUE</t>
  </si>
  <si>
    <t>EDUCAÇÃO SOCIOEMOCIONAL</t>
  </si>
  <si>
    <t>9º Ano D</t>
  </si>
  <si>
    <t>elizamara</t>
  </si>
  <si>
    <t>ELIZAMARA</t>
  </si>
  <si>
    <t>ENSINO RELIGIOSO</t>
  </si>
  <si>
    <t>elizane</t>
  </si>
  <si>
    <t>ELIZANE REGINA TEIXEIRA DE MENDONCA ROCHA</t>
  </si>
  <si>
    <t>GEOGRAFIA</t>
  </si>
  <si>
    <t>erik</t>
  </si>
  <si>
    <t>ERIK MARINO DE FREITAS LIMA</t>
  </si>
  <si>
    <t>HISTÓRIA</t>
  </si>
  <si>
    <t>esterfano</t>
  </si>
  <si>
    <t>ANTONIO ESTERFANO PEREIRA ARAUJO</t>
  </si>
  <si>
    <t>MUSICA</t>
  </si>
  <si>
    <t>gestor</t>
  </si>
  <si>
    <t>GESTOR ESCOLAR</t>
  </si>
  <si>
    <t>PROJETO CAMINHOS DE VIDA</t>
  </si>
  <si>
    <t>joao</t>
  </si>
  <si>
    <t>JOAO GOMES AGUIAR</t>
  </si>
  <si>
    <t>LETRAMENTO RACIAL</t>
  </si>
  <si>
    <t>karine</t>
  </si>
  <si>
    <t>KARLA KARINE ARAUJO FREITAS MONTEIRO</t>
  </si>
  <si>
    <t>HISTÓRIA LOCAL</t>
  </si>
  <si>
    <t>livia</t>
  </si>
  <si>
    <t>LIVIA DA SILVA BEZERRA</t>
  </si>
  <si>
    <t>INICIAÇÃO CIENTÍFICA</t>
  </si>
  <si>
    <t>marcilio</t>
  </si>
  <si>
    <t>MARCILIO RODRIGUES FERREIRA</t>
  </si>
  <si>
    <t>CULTURA DIGITAL</t>
  </si>
  <si>
    <t>marcio</t>
  </si>
  <si>
    <t>MÁRCIO RODRIGUES FERREIRA</t>
  </si>
  <si>
    <t>HISTÓRIA DO CEARÁ</t>
  </si>
  <si>
    <t>marcos</t>
  </si>
  <si>
    <t>ANTONIO MARCOS DE SOUZA</t>
  </si>
  <si>
    <t>HISTÓRIA DO MUNICIPIO</t>
  </si>
  <si>
    <t>mariane</t>
  </si>
  <si>
    <t>MARIANE GOMES DA SILVA</t>
  </si>
  <si>
    <t>nonato</t>
  </si>
  <si>
    <t>RAIMUNDO NONATO DE ALBUQUEERQUE</t>
  </si>
  <si>
    <t>reginaldo</t>
  </si>
  <si>
    <t>REGINALDO SILVA COSTA</t>
  </si>
  <si>
    <t>roberto</t>
  </si>
  <si>
    <t>ROBERTO SARAIVA ARAUJO</t>
  </si>
  <si>
    <t>robson</t>
  </si>
  <si>
    <t>ROBSON VIANA BATISTA</t>
  </si>
  <si>
    <t>sara</t>
  </si>
  <si>
    <t>SARA DA SILVA ALBUQUERQUE</t>
  </si>
  <si>
    <t>vania</t>
  </si>
  <si>
    <t>VANIA CARDOSO DO NASCIMENTO</t>
  </si>
  <si>
    <t>vinicius</t>
  </si>
  <si>
    <t>MARCUS VINICIUS VIANA ALBUQUERQUE</t>
  </si>
  <si>
    <t>yana</t>
  </si>
  <si>
    <t>YANA DE SOUSA DUARTE</t>
  </si>
  <si>
    <t>yuri</t>
  </si>
  <si>
    <t>YURI DE SOUSA PEREIRA</t>
  </si>
  <si>
    <t>9B</t>
  </si>
  <si>
    <t>admin</t>
  </si>
  <si>
    <t>9C</t>
  </si>
  <si>
    <t>9A</t>
  </si>
  <si>
    <t>9D</t>
  </si>
  <si>
    <t>8C</t>
  </si>
  <si>
    <t>8D</t>
  </si>
  <si>
    <t>7A</t>
  </si>
  <si>
    <t>7B</t>
  </si>
  <si>
    <t>7C</t>
  </si>
  <si>
    <t>7D</t>
  </si>
  <si>
    <t>8A</t>
  </si>
  <si>
    <t>8B</t>
  </si>
  <si>
    <t>oferta</t>
  </si>
  <si>
    <t>id_user</t>
  </si>
  <si>
    <t>id_disc</t>
  </si>
  <si>
    <t>LING_PORTU</t>
  </si>
  <si>
    <t>MATEMATICA</t>
  </si>
  <si>
    <t>GESTAO</t>
  </si>
  <si>
    <t>ATV_CO_MAT</t>
  </si>
  <si>
    <t>ADMINISTRA</t>
  </si>
  <si>
    <t>LING_ESTRA</t>
  </si>
  <si>
    <t>ARTE_EDUC</t>
  </si>
  <si>
    <t>ATV_CO_POR</t>
  </si>
  <si>
    <t>CID_RE_SOC</t>
  </si>
  <si>
    <t>CIENCIAS</t>
  </si>
  <si>
    <t>ED_FISICA</t>
  </si>
  <si>
    <t>ED_SOC_EMO</t>
  </si>
  <si>
    <t>ENS_RELIGI</t>
  </si>
  <si>
    <t>HISTORIA</t>
  </si>
  <si>
    <t>PRO_CA_VID</t>
  </si>
  <si>
    <t>LET_RACIAL</t>
  </si>
  <si>
    <t>HIS_LOCAL</t>
  </si>
  <si>
    <t>INIC_CIENT</t>
  </si>
  <si>
    <t>CULT_DIGIT</t>
  </si>
  <si>
    <t>HIST_CEARA</t>
  </si>
  <si>
    <t>HIST_MUNIC</t>
  </si>
  <si>
    <t>abr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</si>
</sst>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0" fontId="0" fillId="33" borderId="0" xfId="0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9"/>
  <sheetViews>
    <sheetView workbookViewId="0"/>
  </sheetViews>
  <sheetFormatPr defaultRowHeight="15" x14ac:dyDescent="0.25"/>
  <cols>
    <col min="1" max="1" width="16.7109375" style="2" customWidth="1"/>
    <col min="2" max="2" width="46.140625" style="3" customWidth="1"/>
    <col min="3" max="3" width="13.42578125" style="2" customWidth="1"/>
    <col min="4" max="4" width="22" style="3" customWidth="1"/>
    <col min="5" max="5" width="13.42578125" style="1" customWidth="1"/>
    <col min="6" max="6" width="10.28515625" style="2" customWidth="1"/>
    <col min="7" max="7" width="7.5703125" style="1" customWidth="1"/>
    <col min="8" max="8" width="9" style="1" customWidth="1"/>
    <col min="9" max="9" width="22" style="2" customWidth="1"/>
    <col min="12" max="12" width="10.85546875" style="2" customWidth="1"/>
    <col min="13" max="13" width="10.85546875" style="1" customWidth="1"/>
    <col min="14" max="14" width="12.5703125" style="1" customWidth="1"/>
    <col min="15" max="15" width="10.85546875" style="2" customWidth="1"/>
    <col min="16" max="16" width="19.7109375" style="1" customWidth="1"/>
    <col min="17" max="17" width="28.5703125" style="1" customWidth="1"/>
    <col min="18" max="18" width="10.85546875" style="2" customWidth="1"/>
    <col min="19" max="19" width="45.5703125" customWidth="1"/>
    <col min="21" max="21" width="9.140625" style="2"/>
    <col min="22" max="22" width="18.42578125" style="3" customWidth="1"/>
    <col min="23" max="23" width="28.85546875" style="3" customWidth="1"/>
  </cols>
  <sheetData>
    <row r="1" spans="1:23" x14ac:dyDescent="0.25">
      <c r="A1" s="2" t="s">
        <v>0</v>
      </c>
      <c r="B1" s="3" t="s">
        <v>1</v>
      </c>
      <c r="C1" s="2" t="s">
        <v>2</v>
      </c>
      <c r="D1" s="3" t="s">
        <v>3</v>
      </c>
      <c r="E1" s="1" t="s">
        <v>2</v>
      </c>
      <c r="F1" s="2" t="s">
        <v>4</v>
      </c>
      <c r="H1" s="1" t="s">
        <v>4</v>
      </c>
      <c r="I1" s="2" t="s">
        <v>5</v>
      </c>
      <c r="L1" s="2" t="s">
        <v>117</v>
      </c>
      <c r="M1" s="1" t="s">
        <v>4</v>
      </c>
      <c r="N1" s="1" t="s">
        <v>5</v>
      </c>
      <c r="O1" s="2" t="s">
        <v>119</v>
      </c>
      <c r="P1" s="1" t="s">
        <v>2</v>
      </c>
      <c r="Q1" s="1" t="s">
        <v>3</v>
      </c>
      <c r="R1" s="2" t="s">
        <v>118</v>
      </c>
      <c r="S1" t="s">
        <v>1</v>
      </c>
      <c r="U1" s="2" t="s">
        <v>119</v>
      </c>
      <c r="V1" s="3" t="s">
        <v>141</v>
      </c>
      <c r="W1" s="3" t="s">
        <v>3</v>
      </c>
    </row>
    <row r="2" spans="1:23" x14ac:dyDescent="0.25">
      <c r="A2" s="2" t="s">
        <v>6</v>
      </c>
      <c r="B2" s="3" t="s">
        <v>7</v>
      </c>
      <c r="C2" s="2">
        <v>48</v>
      </c>
      <c r="D2" s="3" t="s">
        <v>8</v>
      </c>
      <c r="E2" s="1">
        <v>48</v>
      </c>
      <c r="F2" s="2">
        <v>16</v>
      </c>
      <c r="G2" s="1" t="s">
        <v>107</v>
      </c>
      <c r="H2" s="1">
        <v>16</v>
      </c>
      <c r="I2" s="2" t="s">
        <v>9</v>
      </c>
      <c r="L2" s="2" t="s">
        <v>104</v>
      </c>
      <c r="M2" s="1">
        <v>26</v>
      </c>
      <c r="N2" s="1" t="str">
        <f>VLOOKUP(L2,G:I,3,FALSE)</f>
        <v>9º Ano B</v>
      </c>
      <c r="O2" s="2">
        <v>5</v>
      </c>
      <c r="P2" s="1">
        <f>VLOOKUP(Q2,D:F,2,FALSE)</f>
        <v>52</v>
      </c>
      <c r="Q2" s="1" t="s">
        <v>22</v>
      </c>
      <c r="R2" s="2" t="s">
        <v>105</v>
      </c>
      <c r="S2" t="e">
        <v>#N/A</v>
      </c>
      <c r="U2" s="2">
        <v>1</v>
      </c>
      <c r="V2" s="3" t="s">
        <v>120</v>
      </c>
      <c r="W2" s="3" t="s">
        <v>8</v>
      </c>
    </row>
    <row r="3" spans="1:23" x14ac:dyDescent="0.25">
      <c r="A3" s="2" t="s">
        <v>10</v>
      </c>
      <c r="B3" s="3" t="s">
        <v>11</v>
      </c>
      <c r="C3" s="2">
        <v>49</v>
      </c>
      <c r="D3" s="3" t="s">
        <v>12</v>
      </c>
      <c r="E3" s="1">
        <v>49</v>
      </c>
      <c r="F3" s="2">
        <v>18</v>
      </c>
      <c r="G3" s="1" t="s">
        <v>111</v>
      </c>
      <c r="H3" s="1">
        <v>18</v>
      </c>
      <c r="I3" s="2" t="s">
        <v>13</v>
      </c>
      <c r="L3" s="2" t="s">
        <v>106</v>
      </c>
      <c r="M3" s="1">
        <v>27</v>
      </c>
      <c r="N3" s="1" t="str">
        <f t="shared" ref="N3:N66" si="0">VLOOKUP(L3,G:I,3,FALSE)</f>
        <v>9º Ano C</v>
      </c>
      <c r="O3" s="2">
        <v>5</v>
      </c>
      <c r="P3" s="1">
        <f t="shared" ref="P3:P66" si="1">VLOOKUP(Q3,D:F,2,FALSE)</f>
        <v>52</v>
      </c>
      <c r="Q3" s="1" t="s">
        <v>22</v>
      </c>
      <c r="R3" s="2" t="s">
        <v>105</v>
      </c>
      <c r="S3" t="e">
        <v>#N/A</v>
      </c>
      <c r="U3" s="2">
        <v>2</v>
      </c>
      <c r="V3" s="3" t="s">
        <v>121</v>
      </c>
      <c r="W3" s="3" t="s">
        <v>12</v>
      </c>
    </row>
    <row r="4" spans="1:23" x14ac:dyDescent="0.25">
      <c r="A4" s="2" t="s">
        <v>6</v>
      </c>
      <c r="B4" s="3" t="s">
        <v>7</v>
      </c>
      <c r="C4" s="2">
        <v>50</v>
      </c>
      <c r="D4" s="3" t="s">
        <v>14</v>
      </c>
      <c r="E4" s="1">
        <v>50</v>
      </c>
      <c r="F4" s="2">
        <v>19</v>
      </c>
      <c r="G4" s="1" t="s">
        <v>112</v>
      </c>
      <c r="H4" s="1">
        <v>19</v>
      </c>
      <c r="I4" s="2" t="s">
        <v>15</v>
      </c>
      <c r="L4" s="2" t="s">
        <v>107</v>
      </c>
      <c r="M4" s="1">
        <v>16</v>
      </c>
      <c r="N4" s="1" t="str">
        <f t="shared" si="0"/>
        <v>9º ano A</v>
      </c>
      <c r="O4" s="2">
        <v>2</v>
      </c>
      <c r="P4" s="1">
        <f t="shared" si="1"/>
        <v>49</v>
      </c>
      <c r="Q4" s="1" t="s">
        <v>12</v>
      </c>
      <c r="R4" s="2" t="s">
        <v>81</v>
      </c>
      <c r="S4" t="s">
        <v>82</v>
      </c>
      <c r="U4" s="2">
        <v>3</v>
      </c>
      <c r="V4" s="3" t="s">
        <v>122</v>
      </c>
      <c r="W4" s="3" t="s">
        <v>14</v>
      </c>
    </row>
    <row r="5" spans="1:23" x14ac:dyDescent="0.25">
      <c r="A5" s="2" t="s">
        <v>16</v>
      </c>
      <c r="B5" s="3" t="s">
        <v>17</v>
      </c>
      <c r="C5" s="2">
        <v>51</v>
      </c>
      <c r="D5" s="3" t="s">
        <v>18</v>
      </c>
      <c r="E5" s="1">
        <v>51</v>
      </c>
      <c r="F5" s="2">
        <v>20</v>
      </c>
      <c r="G5" s="1" t="s">
        <v>113</v>
      </c>
      <c r="H5" s="1">
        <v>20</v>
      </c>
      <c r="I5" s="2" t="s">
        <v>19</v>
      </c>
      <c r="L5" s="2" t="s">
        <v>104</v>
      </c>
      <c r="M5" s="1">
        <v>26</v>
      </c>
      <c r="N5" s="1" t="str">
        <f t="shared" si="0"/>
        <v>9º Ano B</v>
      </c>
      <c r="O5" s="2">
        <v>2</v>
      </c>
      <c r="P5" s="1">
        <f t="shared" si="1"/>
        <v>49</v>
      </c>
      <c r="Q5" s="1" t="s">
        <v>12</v>
      </c>
      <c r="R5" s="2" t="s">
        <v>57</v>
      </c>
      <c r="S5" t="s">
        <v>58</v>
      </c>
      <c r="U5" s="2">
        <v>4</v>
      </c>
      <c r="V5" s="3" t="s">
        <v>123</v>
      </c>
      <c r="W5" s="3" t="s">
        <v>18</v>
      </c>
    </row>
    <row r="6" spans="1:23" x14ac:dyDescent="0.25">
      <c r="A6" s="2" t="s">
        <v>20</v>
      </c>
      <c r="B6" s="3" t="s">
        <v>21</v>
      </c>
      <c r="C6" s="2">
        <v>52</v>
      </c>
      <c r="D6" s="3" t="s">
        <v>22</v>
      </c>
      <c r="E6" s="1">
        <v>52</v>
      </c>
      <c r="F6" s="2">
        <v>21</v>
      </c>
      <c r="G6" s="1" t="s">
        <v>114</v>
      </c>
      <c r="H6" s="1">
        <v>21</v>
      </c>
      <c r="I6" s="2" t="s">
        <v>23</v>
      </c>
      <c r="L6" s="2" t="s">
        <v>106</v>
      </c>
      <c r="M6" s="1">
        <v>27</v>
      </c>
      <c r="N6" s="1" t="str">
        <f t="shared" si="0"/>
        <v>9º Ano C</v>
      </c>
      <c r="O6" s="2">
        <v>2</v>
      </c>
      <c r="P6" s="1">
        <f t="shared" si="1"/>
        <v>49</v>
      </c>
      <c r="Q6" s="1" t="s">
        <v>12</v>
      </c>
      <c r="R6" s="2" t="s">
        <v>98</v>
      </c>
      <c r="S6" t="s">
        <v>99</v>
      </c>
      <c r="U6" s="2">
        <v>5</v>
      </c>
      <c r="V6" s="3" t="s">
        <v>124</v>
      </c>
      <c r="W6" s="3" t="s">
        <v>22</v>
      </c>
    </row>
    <row r="7" spans="1:23" x14ac:dyDescent="0.25">
      <c r="A7" s="2" t="s">
        <v>24</v>
      </c>
      <c r="B7" s="3" t="s">
        <v>25</v>
      </c>
      <c r="C7" s="2">
        <v>53</v>
      </c>
      <c r="D7" s="3" t="s">
        <v>26</v>
      </c>
      <c r="E7" s="1">
        <v>53</v>
      </c>
      <c r="F7" s="2">
        <v>22</v>
      </c>
      <c r="G7" s="1" t="s">
        <v>115</v>
      </c>
      <c r="H7" s="1">
        <v>22</v>
      </c>
      <c r="I7" s="2" t="s">
        <v>27</v>
      </c>
      <c r="L7" s="2" t="s">
        <v>107</v>
      </c>
      <c r="M7" s="1">
        <v>16</v>
      </c>
      <c r="N7" s="1" t="str">
        <f t="shared" si="0"/>
        <v>9º ano A</v>
      </c>
      <c r="O7" s="2">
        <v>3</v>
      </c>
      <c r="P7" s="1">
        <f t="shared" si="1"/>
        <v>50</v>
      </c>
      <c r="Q7" s="1" t="s">
        <v>14</v>
      </c>
      <c r="R7" s="2" t="s">
        <v>63</v>
      </c>
      <c r="S7" t="s">
        <v>64</v>
      </c>
      <c r="U7" s="2">
        <v>6</v>
      </c>
      <c r="V7" s="3" t="s">
        <v>125</v>
      </c>
      <c r="W7" s="3" t="s">
        <v>26</v>
      </c>
    </row>
    <row r="8" spans="1:23" x14ac:dyDescent="0.25">
      <c r="A8" s="2" t="s">
        <v>28</v>
      </c>
      <c r="B8" s="3" t="s">
        <v>29</v>
      </c>
      <c r="C8" s="2">
        <v>54</v>
      </c>
      <c r="D8" s="3" t="s">
        <v>30</v>
      </c>
      <c r="E8" s="1">
        <v>54</v>
      </c>
      <c r="F8" s="2">
        <v>23</v>
      </c>
      <c r="G8" s="1" t="s">
        <v>116</v>
      </c>
      <c r="H8" s="1">
        <v>23</v>
      </c>
      <c r="I8" s="2" t="s">
        <v>31</v>
      </c>
      <c r="L8" s="2" t="s">
        <v>104</v>
      </c>
      <c r="M8" s="1">
        <v>26</v>
      </c>
      <c r="N8" s="1" t="str">
        <f t="shared" si="0"/>
        <v>9º Ano B</v>
      </c>
      <c r="O8" s="2">
        <v>3</v>
      </c>
      <c r="P8" s="1">
        <f t="shared" si="1"/>
        <v>50</v>
      </c>
      <c r="Q8" s="1" t="s">
        <v>14</v>
      </c>
      <c r="R8" s="2" t="s">
        <v>63</v>
      </c>
      <c r="S8" t="s">
        <v>64</v>
      </c>
      <c r="U8" s="2">
        <v>7</v>
      </c>
      <c r="V8" s="3" t="s">
        <v>126</v>
      </c>
      <c r="W8" s="3" t="s">
        <v>30</v>
      </c>
    </row>
    <row r="9" spans="1:23" x14ac:dyDescent="0.25">
      <c r="A9" s="2" t="s">
        <v>32</v>
      </c>
      <c r="B9" s="3" t="s">
        <v>33</v>
      </c>
      <c r="C9" s="2">
        <v>55</v>
      </c>
      <c r="D9" s="3" t="s">
        <v>34</v>
      </c>
      <c r="E9" s="1">
        <v>55</v>
      </c>
      <c r="F9" s="2">
        <v>24</v>
      </c>
      <c r="G9" s="1" t="s">
        <v>109</v>
      </c>
      <c r="H9" s="1">
        <v>24</v>
      </c>
      <c r="I9" s="2" t="s">
        <v>35</v>
      </c>
      <c r="L9" s="2" t="s">
        <v>106</v>
      </c>
      <c r="M9" s="1">
        <v>27</v>
      </c>
      <c r="N9" s="1" t="str">
        <f t="shared" si="0"/>
        <v>9º Ano C</v>
      </c>
      <c r="O9" s="2">
        <v>3</v>
      </c>
      <c r="P9" s="1">
        <f t="shared" si="1"/>
        <v>50</v>
      </c>
      <c r="Q9" s="1" t="s">
        <v>14</v>
      </c>
      <c r="R9" s="2" t="s">
        <v>63</v>
      </c>
      <c r="S9" t="s">
        <v>64</v>
      </c>
      <c r="U9" s="2">
        <v>8</v>
      </c>
      <c r="V9" s="3" t="s">
        <v>127</v>
      </c>
      <c r="W9" s="3" t="s">
        <v>34</v>
      </c>
    </row>
    <row r="10" spans="1:23" x14ac:dyDescent="0.25">
      <c r="A10" s="2" t="s">
        <v>36</v>
      </c>
      <c r="B10" s="3" t="s">
        <v>37</v>
      </c>
      <c r="C10" s="2">
        <v>56</v>
      </c>
      <c r="D10" s="3" t="s">
        <v>38</v>
      </c>
      <c r="E10" s="1">
        <v>56</v>
      </c>
      <c r="F10" s="2">
        <v>25</v>
      </c>
      <c r="G10" s="1" t="s">
        <v>110</v>
      </c>
      <c r="H10" s="1">
        <v>25</v>
      </c>
      <c r="I10" s="2" t="s">
        <v>39</v>
      </c>
      <c r="L10" s="2" t="s">
        <v>107</v>
      </c>
      <c r="M10" s="1">
        <v>16</v>
      </c>
      <c r="N10" s="1" t="str">
        <f t="shared" si="0"/>
        <v>9º ano A</v>
      </c>
      <c r="O10" s="2">
        <v>6</v>
      </c>
      <c r="P10" s="1">
        <f t="shared" si="1"/>
        <v>53</v>
      </c>
      <c r="Q10" s="1" t="s">
        <v>26</v>
      </c>
      <c r="R10" s="2" t="s">
        <v>90</v>
      </c>
      <c r="S10" t="s">
        <v>91</v>
      </c>
      <c r="U10" s="2">
        <v>9</v>
      </c>
      <c r="V10" s="3" t="s">
        <v>128</v>
      </c>
      <c r="W10" s="3" t="s">
        <v>38</v>
      </c>
    </row>
    <row r="11" spans="1:23" x14ac:dyDescent="0.25">
      <c r="A11" s="2" t="s">
        <v>40</v>
      </c>
      <c r="B11" s="3" t="s">
        <v>7</v>
      </c>
      <c r="C11" s="2">
        <v>57</v>
      </c>
      <c r="D11" s="3" t="s">
        <v>41</v>
      </c>
      <c r="E11" s="1">
        <v>57</v>
      </c>
      <c r="F11" s="2">
        <v>26</v>
      </c>
      <c r="G11" s="1" t="s">
        <v>104</v>
      </c>
      <c r="H11" s="1">
        <v>26</v>
      </c>
      <c r="I11" s="2" t="s">
        <v>42</v>
      </c>
      <c r="L11" s="2" t="s">
        <v>104</v>
      </c>
      <c r="M11" s="1">
        <v>26</v>
      </c>
      <c r="N11" s="1" t="str">
        <f t="shared" si="0"/>
        <v>9º Ano B</v>
      </c>
      <c r="O11" s="2">
        <v>6</v>
      </c>
      <c r="P11" s="1">
        <f t="shared" si="1"/>
        <v>53</v>
      </c>
      <c r="Q11" s="1" t="s">
        <v>26</v>
      </c>
      <c r="R11" s="2" t="s">
        <v>90</v>
      </c>
      <c r="S11" t="s">
        <v>91</v>
      </c>
      <c r="U11" s="2">
        <v>10</v>
      </c>
      <c r="V11" s="3" t="s">
        <v>129</v>
      </c>
      <c r="W11" s="3" t="s">
        <v>41</v>
      </c>
    </row>
    <row r="12" spans="1:23" x14ac:dyDescent="0.25">
      <c r="A12" s="2" t="s">
        <v>43</v>
      </c>
      <c r="B12" s="3" t="s">
        <v>44</v>
      </c>
      <c r="C12" s="2">
        <v>58</v>
      </c>
      <c r="D12" s="3" t="s">
        <v>45</v>
      </c>
      <c r="E12" s="1">
        <v>58</v>
      </c>
      <c r="F12" s="2">
        <v>27</v>
      </c>
      <c r="G12" s="1" t="s">
        <v>106</v>
      </c>
      <c r="H12" s="1">
        <v>27</v>
      </c>
      <c r="I12" s="2" t="s">
        <v>46</v>
      </c>
      <c r="L12" s="2" t="s">
        <v>106</v>
      </c>
      <c r="M12" s="1">
        <v>27</v>
      </c>
      <c r="N12" s="1" t="str">
        <f t="shared" si="0"/>
        <v>9º Ano C</v>
      </c>
      <c r="O12" s="2">
        <v>6</v>
      </c>
      <c r="P12" s="1">
        <f t="shared" si="1"/>
        <v>53</v>
      </c>
      <c r="Q12" s="1" t="s">
        <v>26</v>
      </c>
      <c r="R12" s="2" t="s">
        <v>90</v>
      </c>
      <c r="S12" t="s">
        <v>91</v>
      </c>
      <c r="U12" s="2">
        <v>11</v>
      </c>
      <c r="V12" s="3" t="s">
        <v>130</v>
      </c>
      <c r="W12" s="3" t="s">
        <v>45</v>
      </c>
    </row>
    <row r="13" spans="1:23" x14ac:dyDescent="0.25">
      <c r="A13" s="2" t="s">
        <v>47</v>
      </c>
      <c r="B13" s="3" t="s">
        <v>48</v>
      </c>
      <c r="C13" s="2">
        <v>59</v>
      </c>
      <c r="D13" s="3" t="s">
        <v>49</v>
      </c>
      <c r="E13" s="1">
        <v>59</v>
      </c>
      <c r="F13" s="2">
        <v>28</v>
      </c>
      <c r="G13" s="1" t="s">
        <v>108</v>
      </c>
      <c r="H13" s="1">
        <v>28</v>
      </c>
      <c r="I13" s="2" t="s">
        <v>50</v>
      </c>
      <c r="L13" s="2" t="s">
        <v>108</v>
      </c>
      <c r="M13" s="1">
        <v>28</v>
      </c>
      <c r="N13" s="1" t="str">
        <f t="shared" si="0"/>
        <v>9º Ano D</v>
      </c>
      <c r="O13" s="2">
        <v>6</v>
      </c>
      <c r="P13" s="1">
        <f t="shared" si="1"/>
        <v>53</v>
      </c>
      <c r="Q13" s="1" t="s">
        <v>26</v>
      </c>
      <c r="R13" s="2" t="s">
        <v>90</v>
      </c>
      <c r="S13" t="s">
        <v>91</v>
      </c>
      <c r="U13" s="2">
        <v>12</v>
      </c>
      <c r="V13" s="3" t="s">
        <v>131</v>
      </c>
      <c r="W13" s="3" t="s">
        <v>49</v>
      </c>
    </row>
    <row r="14" spans="1:23" x14ac:dyDescent="0.25">
      <c r="A14" s="2" t="s">
        <v>51</v>
      </c>
      <c r="B14" s="3" t="s">
        <v>52</v>
      </c>
      <c r="C14" s="2">
        <v>60</v>
      </c>
      <c r="D14" s="3" t="s">
        <v>53</v>
      </c>
      <c r="E14" s="1">
        <v>60</v>
      </c>
      <c r="F14" s="2">
        <v>16</v>
      </c>
      <c r="G14" s="1" t="s">
        <v>107</v>
      </c>
      <c r="H14" s="1">
        <v>16</v>
      </c>
      <c r="I14" s="2" t="s">
        <v>9</v>
      </c>
      <c r="L14" s="2" t="s">
        <v>108</v>
      </c>
      <c r="M14" s="1">
        <v>28</v>
      </c>
      <c r="N14" s="1" t="str">
        <f t="shared" si="0"/>
        <v>9º Ano D</v>
      </c>
      <c r="O14" s="2">
        <v>5</v>
      </c>
      <c r="P14" s="1">
        <f t="shared" si="1"/>
        <v>52</v>
      </c>
      <c r="Q14" s="1" t="s">
        <v>22</v>
      </c>
      <c r="R14" s="2" t="s">
        <v>105</v>
      </c>
      <c r="S14" t="e">
        <v>#N/A</v>
      </c>
      <c r="U14" s="2">
        <v>13</v>
      </c>
      <c r="V14" s="3" t="s">
        <v>132</v>
      </c>
      <c r="W14" s="3" t="s">
        <v>53</v>
      </c>
    </row>
    <row r="15" spans="1:23" x14ac:dyDescent="0.25">
      <c r="A15" s="2" t="s">
        <v>54</v>
      </c>
      <c r="B15" s="3" t="s">
        <v>55</v>
      </c>
      <c r="C15" s="2">
        <v>61</v>
      </c>
      <c r="D15" s="3" t="s">
        <v>56</v>
      </c>
      <c r="E15" s="1">
        <v>61</v>
      </c>
      <c r="F15" s="2">
        <v>18</v>
      </c>
      <c r="G15" s="1" t="s">
        <v>111</v>
      </c>
      <c r="H15" s="1">
        <v>18</v>
      </c>
      <c r="I15" s="2" t="s">
        <v>13</v>
      </c>
      <c r="L15" s="2" t="s">
        <v>108</v>
      </c>
      <c r="M15" s="1">
        <v>28</v>
      </c>
      <c r="N15" s="1" t="str">
        <f t="shared" si="0"/>
        <v>9º Ano D</v>
      </c>
      <c r="O15" s="2">
        <v>3</v>
      </c>
      <c r="P15" s="1">
        <f t="shared" si="1"/>
        <v>50</v>
      </c>
      <c r="Q15" s="1" t="s">
        <v>14</v>
      </c>
      <c r="R15" s="2" t="s">
        <v>63</v>
      </c>
      <c r="S15" t="s">
        <v>64</v>
      </c>
      <c r="U15" s="2">
        <v>14</v>
      </c>
      <c r="V15" s="3" t="s">
        <v>56</v>
      </c>
      <c r="W15" s="3" t="s">
        <v>56</v>
      </c>
    </row>
    <row r="16" spans="1:23" x14ac:dyDescent="0.25">
      <c r="A16" s="2" t="s">
        <v>57</v>
      </c>
      <c r="B16" s="3" t="s">
        <v>58</v>
      </c>
      <c r="C16" s="2">
        <v>62</v>
      </c>
      <c r="D16" s="3" t="s">
        <v>59</v>
      </c>
      <c r="E16" s="1">
        <v>62</v>
      </c>
      <c r="F16" s="2">
        <v>19</v>
      </c>
      <c r="G16" s="1" t="s">
        <v>112</v>
      </c>
      <c r="H16" s="1">
        <v>19</v>
      </c>
      <c r="I16" s="2" t="s">
        <v>15</v>
      </c>
      <c r="L16" s="2" t="s">
        <v>109</v>
      </c>
      <c r="M16" s="1">
        <v>24</v>
      </c>
      <c r="N16" s="1" t="str">
        <f t="shared" si="0"/>
        <v>8º Ano C</v>
      </c>
      <c r="O16" s="2">
        <v>3</v>
      </c>
      <c r="P16" s="1">
        <f t="shared" si="1"/>
        <v>50</v>
      </c>
      <c r="Q16" s="1" t="s">
        <v>14</v>
      </c>
      <c r="R16" s="2" t="s">
        <v>63</v>
      </c>
      <c r="S16" t="s">
        <v>64</v>
      </c>
      <c r="U16" s="2">
        <v>15</v>
      </c>
      <c r="V16" s="3" t="s">
        <v>133</v>
      </c>
      <c r="W16" s="3" t="s">
        <v>59</v>
      </c>
    </row>
    <row r="17" spans="1:23" x14ac:dyDescent="0.25">
      <c r="A17" s="2" t="s">
        <v>60</v>
      </c>
      <c r="B17" s="3" t="s">
        <v>61</v>
      </c>
      <c r="C17" s="2">
        <v>63</v>
      </c>
      <c r="D17" s="3" t="s">
        <v>62</v>
      </c>
      <c r="E17" s="1">
        <v>63</v>
      </c>
      <c r="F17" s="2">
        <v>20</v>
      </c>
      <c r="G17" s="1" t="s">
        <v>113</v>
      </c>
      <c r="H17" s="1">
        <v>20</v>
      </c>
      <c r="I17" s="2" t="s">
        <v>19</v>
      </c>
      <c r="L17" s="2" t="s">
        <v>110</v>
      </c>
      <c r="M17" s="1">
        <v>25</v>
      </c>
      <c r="N17" s="1" t="str">
        <f t="shared" si="0"/>
        <v>8º Ano D</v>
      </c>
      <c r="O17" s="2">
        <v>3</v>
      </c>
      <c r="P17" s="1">
        <f t="shared" si="1"/>
        <v>50</v>
      </c>
      <c r="Q17" s="1" t="s">
        <v>14</v>
      </c>
      <c r="R17" s="2" t="s">
        <v>63</v>
      </c>
      <c r="S17" t="s">
        <v>64</v>
      </c>
      <c r="U17" s="2">
        <v>16</v>
      </c>
      <c r="V17" s="3" t="s">
        <v>62</v>
      </c>
      <c r="W17" s="3" t="s">
        <v>62</v>
      </c>
    </row>
    <row r="18" spans="1:23" x14ac:dyDescent="0.25">
      <c r="A18" s="2" t="s">
        <v>63</v>
      </c>
      <c r="B18" s="3" t="s">
        <v>64</v>
      </c>
      <c r="C18" s="2">
        <v>64</v>
      </c>
      <c r="D18" s="3" t="s">
        <v>65</v>
      </c>
      <c r="E18" s="1">
        <v>64</v>
      </c>
      <c r="F18" s="2">
        <v>21</v>
      </c>
      <c r="G18" s="1" t="s">
        <v>114</v>
      </c>
      <c r="H18" s="1">
        <v>21</v>
      </c>
      <c r="I18" s="2" t="s">
        <v>23</v>
      </c>
      <c r="L18" s="2" t="s">
        <v>111</v>
      </c>
      <c r="M18" s="1">
        <v>18</v>
      </c>
      <c r="N18" s="1" t="str">
        <f t="shared" si="0"/>
        <v>7º Ano A</v>
      </c>
      <c r="O18" s="2">
        <v>7</v>
      </c>
      <c r="P18" s="1">
        <f t="shared" si="1"/>
        <v>54</v>
      </c>
      <c r="Q18" s="1" t="s">
        <v>30</v>
      </c>
      <c r="R18" s="2" t="s">
        <v>54</v>
      </c>
      <c r="S18" t="s">
        <v>55</v>
      </c>
      <c r="U18" s="2">
        <v>17</v>
      </c>
      <c r="V18" s="3" t="s">
        <v>134</v>
      </c>
      <c r="W18" s="3" t="s">
        <v>65</v>
      </c>
    </row>
    <row r="19" spans="1:23" x14ac:dyDescent="0.25">
      <c r="A19" s="2" t="s">
        <v>66</v>
      </c>
      <c r="B19" s="3" t="s">
        <v>67</v>
      </c>
      <c r="C19" s="2">
        <v>65</v>
      </c>
      <c r="D19" s="3" t="s">
        <v>68</v>
      </c>
      <c r="E19" s="1">
        <v>65</v>
      </c>
      <c r="F19" s="2">
        <v>22</v>
      </c>
      <c r="G19" s="1" t="s">
        <v>115</v>
      </c>
      <c r="H19" s="1">
        <v>22</v>
      </c>
      <c r="I19" s="2" t="s">
        <v>27</v>
      </c>
      <c r="L19" s="2" t="s">
        <v>111</v>
      </c>
      <c r="M19" s="1">
        <v>18</v>
      </c>
      <c r="N19" s="1" t="str">
        <f t="shared" si="0"/>
        <v>7º Ano A</v>
      </c>
      <c r="O19" s="2">
        <v>4</v>
      </c>
      <c r="P19" s="1">
        <f t="shared" si="1"/>
        <v>51</v>
      </c>
      <c r="Q19" s="1" t="s">
        <v>18</v>
      </c>
      <c r="R19" s="2" t="s">
        <v>75</v>
      </c>
      <c r="S19" t="s">
        <v>76</v>
      </c>
      <c r="U19" s="2">
        <v>18</v>
      </c>
      <c r="V19" s="3" t="s">
        <v>135</v>
      </c>
      <c r="W19" s="3" t="s">
        <v>68</v>
      </c>
    </row>
    <row r="20" spans="1:23" x14ac:dyDescent="0.25">
      <c r="A20" s="2" t="s">
        <v>69</v>
      </c>
      <c r="B20" s="3" t="s">
        <v>70</v>
      </c>
      <c r="C20" s="2">
        <v>66</v>
      </c>
      <c r="D20" s="3" t="s">
        <v>71</v>
      </c>
      <c r="E20" s="1">
        <v>66</v>
      </c>
      <c r="F20" s="2">
        <v>23</v>
      </c>
      <c r="G20" s="1" t="s">
        <v>116</v>
      </c>
      <c r="H20" s="1">
        <v>23</v>
      </c>
      <c r="I20" s="2" t="s">
        <v>31</v>
      </c>
      <c r="L20" s="2" t="s">
        <v>111</v>
      </c>
      <c r="M20" s="1">
        <v>18</v>
      </c>
      <c r="N20" s="1" t="str">
        <f t="shared" si="0"/>
        <v>7º Ano A</v>
      </c>
      <c r="O20" s="2">
        <v>8</v>
      </c>
      <c r="P20" s="1">
        <f t="shared" si="1"/>
        <v>55</v>
      </c>
      <c r="Q20" s="1" t="s">
        <v>34</v>
      </c>
      <c r="R20" s="2" t="s">
        <v>94</v>
      </c>
      <c r="S20" t="s">
        <v>95</v>
      </c>
      <c r="U20" s="2">
        <v>19</v>
      </c>
      <c r="V20" s="3" t="s">
        <v>136</v>
      </c>
      <c r="W20" s="3" t="s">
        <v>71</v>
      </c>
    </row>
    <row r="21" spans="1:23" x14ac:dyDescent="0.25">
      <c r="A21" s="2" t="s">
        <v>72</v>
      </c>
      <c r="B21" s="3" t="s">
        <v>73</v>
      </c>
      <c r="C21" s="2">
        <v>67</v>
      </c>
      <c r="D21" s="3" t="s">
        <v>74</v>
      </c>
      <c r="E21" s="1">
        <v>67</v>
      </c>
      <c r="F21" s="2">
        <v>24</v>
      </c>
      <c r="G21" s="1" t="s">
        <v>109</v>
      </c>
      <c r="H21" s="1">
        <v>24</v>
      </c>
      <c r="I21" s="2" t="s">
        <v>35</v>
      </c>
      <c r="L21" s="2" t="s">
        <v>111</v>
      </c>
      <c r="M21" s="1">
        <v>18</v>
      </c>
      <c r="N21" s="1" t="str">
        <f t="shared" si="0"/>
        <v>7º Ano A</v>
      </c>
      <c r="O21" s="2">
        <v>9</v>
      </c>
      <c r="P21" s="1">
        <f t="shared" si="1"/>
        <v>56</v>
      </c>
      <c r="Q21" s="1" t="s">
        <v>38</v>
      </c>
      <c r="R21" s="2" t="s">
        <v>32</v>
      </c>
      <c r="S21" t="s">
        <v>33</v>
      </c>
      <c r="U21" s="2">
        <v>20</v>
      </c>
      <c r="V21" s="3" t="s">
        <v>137</v>
      </c>
      <c r="W21" s="3" t="s">
        <v>74</v>
      </c>
    </row>
    <row r="22" spans="1:23" x14ac:dyDescent="0.25">
      <c r="A22" s="2" t="s">
        <v>75</v>
      </c>
      <c r="B22" s="3" t="s">
        <v>76</v>
      </c>
      <c r="C22" s="2">
        <v>68</v>
      </c>
      <c r="D22" s="3" t="s">
        <v>77</v>
      </c>
      <c r="E22" s="1">
        <v>68</v>
      </c>
      <c r="F22" s="2">
        <v>25</v>
      </c>
      <c r="G22" s="1" t="s">
        <v>110</v>
      </c>
      <c r="H22" s="1">
        <v>25</v>
      </c>
      <c r="I22" s="2" t="s">
        <v>39</v>
      </c>
      <c r="L22" s="2" t="s">
        <v>111</v>
      </c>
      <c r="M22" s="1">
        <v>18</v>
      </c>
      <c r="N22" s="1" t="str">
        <f t="shared" si="0"/>
        <v>7º Ano A</v>
      </c>
      <c r="O22" s="2">
        <v>10</v>
      </c>
      <c r="P22" s="1">
        <f t="shared" si="1"/>
        <v>57</v>
      </c>
      <c r="Q22" s="1" t="s">
        <v>41</v>
      </c>
      <c r="R22" s="2" t="s">
        <v>88</v>
      </c>
      <c r="S22" t="s">
        <v>89</v>
      </c>
      <c r="U22" s="2">
        <v>21</v>
      </c>
      <c r="V22" s="3" t="s">
        <v>138</v>
      </c>
      <c r="W22" s="3" t="s">
        <v>77</v>
      </c>
    </row>
    <row r="23" spans="1:23" x14ac:dyDescent="0.25">
      <c r="A23" s="2" t="s">
        <v>78</v>
      </c>
      <c r="B23" s="3" t="s">
        <v>79</v>
      </c>
      <c r="C23" s="2">
        <v>69</v>
      </c>
      <c r="D23" s="3" t="s">
        <v>80</v>
      </c>
      <c r="E23" s="1">
        <v>69</v>
      </c>
      <c r="F23" s="2">
        <v>26</v>
      </c>
      <c r="G23" s="1" t="s">
        <v>104</v>
      </c>
      <c r="H23" s="1">
        <v>26</v>
      </c>
      <c r="I23" s="2" t="s">
        <v>42</v>
      </c>
      <c r="L23" s="2" t="s">
        <v>111</v>
      </c>
      <c r="M23" s="1">
        <v>18</v>
      </c>
      <c r="N23" s="1" t="str">
        <f t="shared" si="0"/>
        <v>7º Ano A</v>
      </c>
      <c r="O23" s="2">
        <v>11</v>
      </c>
      <c r="P23" s="1">
        <f t="shared" si="1"/>
        <v>58</v>
      </c>
      <c r="Q23" s="1" t="s">
        <v>45</v>
      </c>
      <c r="R23" s="2" t="s">
        <v>43</v>
      </c>
      <c r="S23" t="s">
        <v>44</v>
      </c>
      <c r="U23" s="2">
        <v>22</v>
      </c>
      <c r="V23" s="3" t="s">
        <v>139</v>
      </c>
      <c r="W23" s="3" t="s">
        <v>80</v>
      </c>
    </row>
    <row r="24" spans="1:23" x14ac:dyDescent="0.25">
      <c r="A24" s="2" t="s">
        <v>81</v>
      </c>
      <c r="B24" s="3" t="s">
        <v>82</v>
      </c>
      <c r="C24" s="2">
        <v>70</v>
      </c>
      <c r="D24" s="3" t="s">
        <v>83</v>
      </c>
      <c r="E24" s="1">
        <v>70</v>
      </c>
      <c r="F24" s="2">
        <v>27</v>
      </c>
      <c r="G24" s="1" t="s">
        <v>106</v>
      </c>
      <c r="H24" s="1">
        <v>27</v>
      </c>
      <c r="I24" s="2" t="s">
        <v>46</v>
      </c>
      <c r="L24" s="2" t="s">
        <v>111</v>
      </c>
      <c r="M24" s="1">
        <v>18</v>
      </c>
      <c r="N24" s="1" t="str">
        <f t="shared" si="0"/>
        <v>7º Ano A</v>
      </c>
      <c r="O24" s="2">
        <v>12</v>
      </c>
      <c r="P24" s="1">
        <f t="shared" si="1"/>
        <v>59</v>
      </c>
      <c r="Q24" s="1" t="s">
        <v>49</v>
      </c>
      <c r="R24" s="2" t="s">
        <v>102</v>
      </c>
      <c r="S24" t="s">
        <v>103</v>
      </c>
      <c r="U24" s="2">
        <v>23</v>
      </c>
      <c r="V24" s="3" t="s">
        <v>140</v>
      </c>
      <c r="W24" s="3" t="s">
        <v>83</v>
      </c>
    </row>
    <row r="25" spans="1:23" x14ac:dyDescent="0.25">
      <c r="A25" s="2" t="s">
        <v>84</v>
      </c>
      <c r="B25" s="3" t="s">
        <v>85</v>
      </c>
      <c r="C25" s="2">
        <v>48</v>
      </c>
      <c r="D25" s="3" t="s">
        <v>8</v>
      </c>
      <c r="E25" s="1">
        <v>48</v>
      </c>
      <c r="F25" s="2">
        <v>28</v>
      </c>
      <c r="G25" s="1" t="s">
        <v>108</v>
      </c>
      <c r="H25" s="1">
        <v>28</v>
      </c>
      <c r="I25" s="2" t="s">
        <v>50</v>
      </c>
      <c r="L25" s="2" t="s">
        <v>111</v>
      </c>
      <c r="M25" s="1">
        <v>18</v>
      </c>
      <c r="N25" s="1" t="str">
        <f t="shared" si="0"/>
        <v>7º Ano A</v>
      </c>
      <c r="O25" s="2">
        <v>13</v>
      </c>
      <c r="P25" s="1">
        <f t="shared" si="1"/>
        <v>60</v>
      </c>
      <c r="Q25" s="1" t="s">
        <v>53</v>
      </c>
      <c r="R25" s="2" t="s">
        <v>32</v>
      </c>
      <c r="S25" t="s">
        <v>33</v>
      </c>
    </row>
    <row r="26" spans="1:23" x14ac:dyDescent="0.25">
      <c r="A26" s="2" t="s">
        <v>86</v>
      </c>
      <c r="B26" s="3" t="s">
        <v>87</v>
      </c>
      <c r="C26" s="2">
        <v>49</v>
      </c>
      <c r="D26" s="3" t="s">
        <v>12</v>
      </c>
      <c r="E26" s="1">
        <v>49</v>
      </c>
      <c r="F26" s="2">
        <v>16</v>
      </c>
      <c r="G26" s="1" t="s">
        <v>107</v>
      </c>
      <c r="H26" s="1">
        <v>16</v>
      </c>
      <c r="I26" s="2" t="s">
        <v>9</v>
      </c>
      <c r="L26" s="2" t="s">
        <v>111</v>
      </c>
      <c r="M26" s="1">
        <v>18</v>
      </c>
      <c r="N26" s="1" t="str">
        <f t="shared" si="0"/>
        <v>7º Ano A</v>
      </c>
      <c r="O26" s="2">
        <v>14</v>
      </c>
      <c r="P26" s="1">
        <f t="shared" si="1"/>
        <v>61</v>
      </c>
      <c r="Q26" s="1" t="s">
        <v>56</v>
      </c>
      <c r="R26" s="2" t="s">
        <v>66</v>
      </c>
      <c r="S26" t="s">
        <v>67</v>
      </c>
    </row>
    <row r="27" spans="1:23" x14ac:dyDescent="0.25">
      <c r="A27" s="2" t="s">
        <v>88</v>
      </c>
      <c r="B27" s="3" t="s">
        <v>89</v>
      </c>
      <c r="C27" s="2">
        <v>50</v>
      </c>
      <c r="D27" s="3" t="s">
        <v>14</v>
      </c>
      <c r="E27" s="1">
        <v>50</v>
      </c>
      <c r="F27" s="2">
        <v>18</v>
      </c>
      <c r="G27" s="1" t="s">
        <v>111</v>
      </c>
      <c r="H27" s="1">
        <v>18</v>
      </c>
      <c r="I27" s="2" t="s">
        <v>13</v>
      </c>
      <c r="L27" s="2" t="s">
        <v>111</v>
      </c>
      <c r="M27" s="1">
        <v>18</v>
      </c>
      <c r="N27" s="1" t="str">
        <f t="shared" si="0"/>
        <v>7º Ano A</v>
      </c>
      <c r="O27" s="2">
        <v>15</v>
      </c>
      <c r="P27" s="1">
        <f t="shared" si="1"/>
        <v>62</v>
      </c>
      <c r="Q27" s="1" t="s">
        <v>59</v>
      </c>
      <c r="R27" s="2" t="s">
        <v>69</v>
      </c>
      <c r="S27" t="s">
        <v>70</v>
      </c>
    </row>
    <row r="28" spans="1:23" x14ac:dyDescent="0.25">
      <c r="A28" s="2" t="s">
        <v>90</v>
      </c>
      <c r="B28" s="3" t="s">
        <v>91</v>
      </c>
      <c r="C28" s="2">
        <v>51</v>
      </c>
      <c r="D28" s="3" t="s">
        <v>18</v>
      </c>
      <c r="E28" s="1">
        <v>51</v>
      </c>
      <c r="F28" s="2">
        <v>19</v>
      </c>
      <c r="G28" s="1" t="s">
        <v>112</v>
      </c>
      <c r="H28" s="1">
        <v>19</v>
      </c>
      <c r="I28" s="2" t="s">
        <v>15</v>
      </c>
      <c r="L28" s="2" t="s">
        <v>111</v>
      </c>
      <c r="M28" s="1">
        <v>18</v>
      </c>
      <c r="N28" s="1" t="str">
        <f t="shared" si="0"/>
        <v>7º Ano A</v>
      </c>
      <c r="O28" s="2">
        <v>6</v>
      </c>
      <c r="P28" s="1">
        <f t="shared" si="1"/>
        <v>53</v>
      </c>
      <c r="Q28" s="1" t="s">
        <v>26</v>
      </c>
      <c r="R28" s="2" t="s">
        <v>10</v>
      </c>
      <c r="S28" t="s">
        <v>11</v>
      </c>
    </row>
    <row r="29" spans="1:23" x14ac:dyDescent="0.25">
      <c r="A29" s="2" t="s">
        <v>92</v>
      </c>
      <c r="B29" s="3" t="s">
        <v>93</v>
      </c>
      <c r="C29" s="2">
        <v>52</v>
      </c>
      <c r="D29" s="3" t="s">
        <v>22</v>
      </c>
      <c r="E29" s="1">
        <v>52</v>
      </c>
      <c r="F29" s="2">
        <v>20</v>
      </c>
      <c r="G29" s="1" t="s">
        <v>113</v>
      </c>
      <c r="H29" s="1">
        <v>20</v>
      </c>
      <c r="I29" s="2" t="s">
        <v>19</v>
      </c>
      <c r="L29" s="2" t="s">
        <v>111</v>
      </c>
      <c r="M29" s="1">
        <v>18</v>
      </c>
      <c r="N29" s="1" t="str">
        <f t="shared" si="0"/>
        <v>7º Ano A</v>
      </c>
      <c r="O29" s="2">
        <v>1</v>
      </c>
      <c r="P29" s="1">
        <f t="shared" si="1"/>
        <v>48</v>
      </c>
      <c r="Q29" s="1" t="s">
        <v>8</v>
      </c>
      <c r="R29" s="2" t="s">
        <v>96</v>
      </c>
      <c r="S29" t="s">
        <v>97</v>
      </c>
    </row>
    <row r="30" spans="1:23" x14ac:dyDescent="0.25">
      <c r="A30" s="2" t="s">
        <v>94</v>
      </c>
      <c r="B30" s="3" t="s">
        <v>95</v>
      </c>
      <c r="C30" s="2">
        <v>53</v>
      </c>
      <c r="D30" s="3" t="s">
        <v>26</v>
      </c>
      <c r="E30" s="1">
        <v>53</v>
      </c>
      <c r="F30" s="2">
        <v>21</v>
      </c>
      <c r="G30" s="1" t="s">
        <v>114</v>
      </c>
      <c r="H30" s="1">
        <v>21</v>
      </c>
      <c r="I30" s="2" t="s">
        <v>23</v>
      </c>
      <c r="L30" s="2" t="s">
        <v>111</v>
      </c>
      <c r="M30" s="1">
        <v>18</v>
      </c>
      <c r="N30" s="1" t="str">
        <f t="shared" si="0"/>
        <v>7º Ano A</v>
      </c>
      <c r="O30" s="2">
        <v>2</v>
      </c>
      <c r="P30" s="1">
        <f t="shared" si="1"/>
        <v>49</v>
      </c>
      <c r="Q30" s="1" t="s">
        <v>12</v>
      </c>
      <c r="R30" s="2" t="s">
        <v>98</v>
      </c>
      <c r="S30" t="s">
        <v>99</v>
      </c>
    </row>
    <row r="31" spans="1:23" x14ac:dyDescent="0.25">
      <c r="A31" s="2" t="s">
        <v>96</v>
      </c>
      <c r="B31" s="3" t="s">
        <v>97</v>
      </c>
      <c r="C31" s="2">
        <v>54</v>
      </c>
      <c r="D31" s="3" t="s">
        <v>30</v>
      </c>
      <c r="E31" s="1">
        <v>54</v>
      </c>
      <c r="F31" s="2">
        <v>22</v>
      </c>
      <c r="G31" s="1" t="s">
        <v>115</v>
      </c>
      <c r="H31" s="1">
        <v>22</v>
      </c>
      <c r="I31" s="2" t="s">
        <v>27</v>
      </c>
      <c r="L31" s="2" t="s">
        <v>111</v>
      </c>
      <c r="M31" s="1">
        <v>18</v>
      </c>
      <c r="N31" s="1" t="str">
        <f t="shared" si="0"/>
        <v>7º Ano A</v>
      </c>
      <c r="O31" s="2">
        <v>16</v>
      </c>
      <c r="P31" s="1">
        <f t="shared" si="1"/>
        <v>63</v>
      </c>
      <c r="Q31" s="1" t="s">
        <v>62</v>
      </c>
      <c r="R31" s="2" t="s">
        <v>24</v>
      </c>
      <c r="S31" t="s">
        <v>25</v>
      </c>
    </row>
    <row r="32" spans="1:23" x14ac:dyDescent="0.25">
      <c r="A32" s="2" t="s">
        <v>98</v>
      </c>
      <c r="B32" s="3" t="s">
        <v>99</v>
      </c>
      <c r="C32" s="2">
        <v>55</v>
      </c>
      <c r="D32" s="3" t="s">
        <v>34</v>
      </c>
      <c r="E32" s="1">
        <v>55</v>
      </c>
      <c r="F32" s="2">
        <v>23</v>
      </c>
      <c r="G32" s="1" t="s">
        <v>116</v>
      </c>
      <c r="H32" s="1">
        <v>23</v>
      </c>
      <c r="I32" s="2" t="s">
        <v>31</v>
      </c>
      <c r="L32" s="2" t="s">
        <v>112</v>
      </c>
      <c r="M32" s="1">
        <v>19</v>
      </c>
      <c r="N32" s="1" t="str">
        <f t="shared" si="0"/>
        <v>7º Ano B</v>
      </c>
      <c r="O32" s="2">
        <v>7</v>
      </c>
      <c r="P32" s="1">
        <f t="shared" si="1"/>
        <v>54</v>
      </c>
      <c r="Q32" s="1" t="s">
        <v>30</v>
      </c>
      <c r="R32" s="2" t="s">
        <v>54</v>
      </c>
      <c r="S32" t="s">
        <v>55</v>
      </c>
    </row>
    <row r="33" spans="1:19" x14ac:dyDescent="0.25">
      <c r="A33" s="2" t="s">
        <v>100</v>
      </c>
      <c r="B33" s="3" t="s">
        <v>101</v>
      </c>
      <c r="C33" s="2">
        <v>56</v>
      </c>
      <c r="D33" s="3" t="s">
        <v>38</v>
      </c>
      <c r="E33" s="1">
        <v>56</v>
      </c>
      <c r="F33" s="2">
        <v>24</v>
      </c>
      <c r="G33" s="1" t="s">
        <v>109</v>
      </c>
      <c r="H33" s="1">
        <v>24</v>
      </c>
      <c r="I33" s="2" t="s">
        <v>35</v>
      </c>
      <c r="L33" s="2" t="s">
        <v>112</v>
      </c>
      <c r="M33" s="1">
        <v>19</v>
      </c>
      <c r="N33" s="1" t="str">
        <f t="shared" si="0"/>
        <v>7º Ano B</v>
      </c>
      <c r="O33" s="2">
        <v>4</v>
      </c>
      <c r="P33" s="1">
        <f t="shared" si="1"/>
        <v>51</v>
      </c>
      <c r="Q33" s="1" t="s">
        <v>18</v>
      </c>
      <c r="R33" s="2" t="s">
        <v>75</v>
      </c>
      <c r="S33" t="s">
        <v>76</v>
      </c>
    </row>
    <row r="34" spans="1:19" x14ac:dyDescent="0.25">
      <c r="A34" s="2" t="s">
        <v>102</v>
      </c>
      <c r="B34" s="3" t="s">
        <v>103</v>
      </c>
      <c r="C34" s="2">
        <v>57</v>
      </c>
      <c r="D34" s="3" t="s">
        <v>41</v>
      </c>
      <c r="E34" s="1">
        <v>57</v>
      </c>
      <c r="F34" s="2">
        <v>25</v>
      </c>
      <c r="G34" s="1" t="s">
        <v>110</v>
      </c>
      <c r="H34" s="1">
        <v>25</v>
      </c>
      <c r="I34" s="2" t="s">
        <v>39</v>
      </c>
      <c r="L34" s="2" t="s">
        <v>112</v>
      </c>
      <c r="M34" s="1">
        <v>19</v>
      </c>
      <c r="N34" s="1" t="str">
        <f t="shared" si="0"/>
        <v>7º Ano B</v>
      </c>
      <c r="O34" s="2">
        <v>8</v>
      </c>
      <c r="P34" s="1">
        <f t="shared" si="1"/>
        <v>55</v>
      </c>
      <c r="Q34" s="1" t="s">
        <v>34</v>
      </c>
      <c r="R34" s="2" t="s">
        <v>94</v>
      </c>
      <c r="S34" t="s">
        <v>95</v>
      </c>
    </row>
    <row r="35" spans="1:19" x14ac:dyDescent="0.25">
      <c r="L35" s="2" t="s">
        <v>112</v>
      </c>
      <c r="M35" s="1">
        <v>19</v>
      </c>
      <c r="N35" s="1" t="str">
        <f t="shared" si="0"/>
        <v>7º Ano B</v>
      </c>
      <c r="O35" s="2">
        <v>9</v>
      </c>
      <c r="P35" s="1">
        <f t="shared" si="1"/>
        <v>56</v>
      </c>
      <c r="Q35" s="1" t="s">
        <v>38</v>
      </c>
      <c r="R35" s="2" t="s">
        <v>32</v>
      </c>
      <c r="S35" t="s">
        <v>33</v>
      </c>
    </row>
    <row r="36" spans="1:19" x14ac:dyDescent="0.25">
      <c r="L36" s="2" t="s">
        <v>112</v>
      </c>
      <c r="M36" s="1">
        <v>19</v>
      </c>
      <c r="N36" s="1" t="str">
        <f t="shared" si="0"/>
        <v>7º Ano B</v>
      </c>
      <c r="O36" s="2">
        <v>10</v>
      </c>
      <c r="P36" s="1">
        <f t="shared" si="1"/>
        <v>57</v>
      </c>
      <c r="Q36" s="1" t="s">
        <v>41</v>
      </c>
      <c r="R36" s="2" t="s">
        <v>88</v>
      </c>
      <c r="S36" t="s">
        <v>89</v>
      </c>
    </row>
    <row r="37" spans="1:19" x14ac:dyDescent="0.25">
      <c r="L37" s="2" t="s">
        <v>112</v>
      </c>
      <c r="M37" s="1">
        <v>19</v>
      </c>
      <c r="N37" s="1" t="str">
        <f t="shared" si="0"/>
        <v>7º Ano B</v>
      </c>
      <c r="O37" s="2">
        <v>11</v>
      </c>
      <c r="P37" s="1">
        <f t="shared" si="1"/>
        <v>58</v>
      </c>
      <c r="Q37" s="1" t="s">
        <v>45</v>
      </c>
      <c r="R37" s="2" t="s">
        <v>43</v>
      </c>
      <c r="S37" t="s">
        <v>44</v>
      </c>
    </row>
    <row r="38" spans="1:19" x14ac:dyDescent="0.25">
      <c r="L38" s="2" t="s">
        <v>112</v>
      </c>
      <c r="M38" s="1">
        <v>19</v>
      </c>
      <c r="N38" s="1" t="str">
        <f t="shared" si="0"/>
        <v>7º Ano B</v>
      </c>
      <c r="O38" s="2">
        <v>12</v>
      </c>
      <c r="P38" s="1">
        <f t="shared" si="1"/>
        <v>59</v>
      </c>
      <c r="Q38" s="1" t="s">
        <v>49</v>
      </c>
      <c r="R38" s="2" t="s">
        <v>102</v>
      </c>
      <c r="S38" t="s">
        <v>103</v>
      </c>
    </row>
    <row r="39" spans="1:19" x14ac:dyDescent="0.25">
      <c r="L39" s="2" t="s">
        <v>112</v>
      </c>
      <c r="M39" s="1">
        <v>19</v>
      </c>
      <c r="N39" s="1" t="str">
        <f t="shared" si="0"/>
        <v>7º Ano B</v>
      </c>
      <c r="O39" s="2">
        <v>13</v>
      </c>
      <c r="P39" s="1">
        <f t="shared" si="1"/>
        <v>60</v>
      </c>
      <c r="Q39" s="1" t="s">
        <v>53</v>
      </c>
      <c r="R39" s="2" t="s">
        <v>32</v>
      </c>
      <c r="S39" t="s">
        <v>33</v>
      </c>
    </row>
    <row r="40" spans="1:19" x14ac:dyDescent="0.25">
      <c r="L40" s="2" t="s">
        <v>112</v>
      </c>
      <c r="M40" s="1">
        <v>19</v>
      </c>
      <c r="N40" s="1" t="str">
        <f t="shared" si="0"/>
        <v>7º Ano B</v>
      </c>
      <c r="O40" s="2">
        <v>14</v>
      </c>
      <c r="P40" s="1">
        <f t="shared" si="1"/>
        <v>61</v>
      </c>
      <c r="Q40" s="1" t="s">
        <v>56</v>
      </c>
      <c r="R40" s="2" t="s">
        <v>66</v>
      </c>
      <c r="S40" t="s">
        <v>67</v>
      </c>
    </row>
    <row r="41" spans="1:19" x14ac:dyDescent="0.25">
      <c r="L41" s="2" t="s">
        <v>112</v>
      </c>
      <c r="M41" s="1">
        <v>19</v>
      </c>
      <c r="N41" s="1" t="str">
        <f t="shared" si="0"/>
        <v>7º Ano B</v>
      </c>
      <c r="O41" s="2">
        <v>15</v>
      </c>
      <c r="P41" s="1">
        <f t="shared" si="1"/>
        <v>62</v>
      </c>
      <c r="Q41" s="1" t="s">
        <v>59</v>
      </c>
      <c r="R41" s="2" t="s">
        <v>69</v>
      </c>
      <c r="S41" t="s">
        <v>70</v>
      </c>
    </row>
    <row r="42" spans="1:19" x14ac:dyDescent="0.25">
      <c r="L42" s="2" t="s">
        <v>112</v>
      </c>
      <c r="M42" s="1">
        <v>19</v>
      </c>
      <c r="N42" s="1" t="str">
        <f t="shared" si="0"/>
        <v>7º Ano B</v>
      </c>
      <c r="O42" s="2">
        <v>6</v>
      </c>
      <c r="P42" s="1">
        <f t="shared" si="1"/>
        <v>53</v>
      </c>
      <c r="Q42" s="1" t="s">
        <v>26</v>
      </c>
      <c r="R42" s="2" t="s">
        <v>10</v>
      </c>
      <c r="S42" t="s">
        <v>11</v>
      </c>
    </row>
    <row r="43" spans="1:19" x14ac:dyDescent="0.25">
      <c r="L43" s="2" t="s">
        <v>112</v>
      </c>
      <c r="M43" s="1">
        <v>19</v>
      </c>
      <c r="N43" s="1" t="str">
        <f t="shared" si="0"/>
        <v>7º Ano B</v>
      </c>
      <c r="O43" s="2">
        <v>1</v>
      </c>
      <c r="P43" s="1">
        <f t="shared" si="1"/>
        <v>48</v>
      </c>
      <c r="Q43" s="1" t="s">
        <v>8</v>
      </c>
      <c r="R43" s="2" t="s">
        <v>47</v>
      </c>
      <c r="S43" t="s">
        <v>48</v>
      </c>
    </row>
    <row r="44" spans="1:19" x14ac:dyDescent="0.25">
      <c r="L44" s="2" t="s">
        <v>112</v>
      </c>
      <c r="M44" s="1">
        <v>19</v>
      </c>
      <c r="N44" s="1" t="str">
        <f t="shared" si="0"/>
        <v>7º Ano B</v>
      </c>
      <c r="O44" s="2">
        <v>2</v>
      </c>
      <c r="P44" s="1">
        <f t="shared" si="1"/>
        <v>49</v>
      </c>
      <c r="Q44" s="1" t="s">
        <v>12</v>
      </c>
      <c r="R44" s="2" t="s">
        <v>98</v>
      </c>
      <c r="S44" t="s">
        <v>99</v>
      </c>
    </row>
    <row r="45" spans="1:19" x14ac:dyDescent="0.25">
      <c r="L45" s="2" t="s">
        <v>112</v>
      </c>
      <c r="M45" s="1">
        <v>19</v>
      </c>
      <c r="N45" s="1" t="str">
        <f t="shared" si="0"/>
        <v>7º Ano B</v>
      </c>
      <c r="O45" s="2">
        <v>16</v>
      </c>
      <c r="P45" s="1">
        <f t="shared" si="1"/>
        <v>63</v>
      </c>
      <c r="Q45" s="1" t="s">
        <v>62</v>
      </c>
      <c r="R45" s="2" t="s">
        <v>24</v>
      </c>
      <c r="S45" t="s">
        <v>25</v>
      </c>
    </row>
    <row r="46" spans="1:19" x14ac:dyDescent="0.25">
      <c r="L46" s="2" t="s">
        <v>113</v>
      </c>
      <c r="M46" s="1">
        <v>20</v>
      </c>
      <c r="N46" s="1" t="str">
        <f t="shared" si="0"/>
        <v>7º Ano C</v>
      </c>
      <c r="O46" s="2">
        <v>7</v>
      </c>
      <c r="P46" s="1">
        <f t="shared" si="1"/>
        <v>54</v>
      </c>
      <c r="Q46" s="1" t="s">
        <v>30</v>
      </c>
      <c r="R46" s="2" t="s">
        <v>54</v>
      </c>
      <c r="S46" t="s">
        <v>55</v>
      </c>
    </row>
    <row r="47" spans="1:19" x14ac:dyDescent="0.25">
      <c r="L47" s="2" t="s">
        <v>113</v>
      </c>
      <c r="M47" s="1">
        <v>20</v>
      </c>
      <c r="N47" s="1" t="str">
        <f t="shared" si="0"/>
        <v>7º Ano C</v>
      </c>
      <c r="O47" s="2">
        <v>4</v>
      </c>
      <c r="P47" s="1">
        <f t="shared" si="1"/>
        <v>51</v>
      </c>
      <c r="Q47" s="1" t="s">
        <v>18</v>
      </c>
      <c r="R47" s="2" t="s">
        <v>75</v>
      </c>
      <c r="S47" t="s">
        <v>76</v>
      </c>
    </row>
    <row r="48" spans="1:19" x14ac:dyDescent="0.25">
      <c r="L48" s="2" t="s">
        <v>113</v>
      </c>
      <c r="M48" s="1">
        <v>20</v>
      </c>
      <c r="N48" s="1" t="str">
        <f t="shared" si="0"/>
        <v>7º Ano C</v>
      </c>
      <c r="O48" s="2">
        <v>8</v>
      </c>
      <c r="P48" s="1">
        <f t="shared" si="1"/>
        <v>55</v>
      </c>
      <c r="Q48" s="1" t="s">
        <v>34</v>
      </c>
      <c r="R48" s="2" t="s">
        <v>94</v>
      </c>
      <c r="S48" t="s">
        <v>95</v>
      </c>
    </row>
    <row r="49" spans="12:19" x14ac:dyDescent="0.25">
      <c r="L49" s="2" t="s">
        <v>113</v>
      </c>
      <c r="M49" s="1">
        <v>20</v>
      </c>
      <c r="N49" s="1" t="str">
        <f t="shared" si="0"/>
        <v>7º Ano C</v>
      </c>
      <c r="O49" s="2">
        <v>9</v>
      </c>
      <c r="P49" s="1">
        <f t="shared" si="1"/>
        <v>56</v>
      </c>
      <c r="Q49" s="1" t="s">
        <v>38</v>
      </c>
      <c r="R49" s="2" t="s">
        <v>32</v>
      </c>
      <c r="S49" t="s">
        <v>33</v>
      </c>
    </row>
    <row r="50" spans="12:19" x14ac:dyDescent="0.25">
      <c r="L50" s="2" t="s">
        <v>113</v>
      </c>
      <c r="M50" s="1">
        <v>20</v>
      </c>
      <c r="N50" s="1" t="str">
        <f t="shared" si="0"/>
        <v>7º Ano C</v>
      </c>
      <c r="O50" s="2">
        <v>10</v>
      </c>
      <c r="P50" s="1">
        <f t="shared" si="1"/>
        <v>57</v>
      </c>
      <c r="Q50" s="1" t="s">
        <v>41</v>
      </c>
      <c r="R50" s="2" t="s">
        <v>88</v>
      </c>
      <c r="S50" t="s">
        <v>89</v>
      </c>
    </row>
    <row r="51" spans="12:19" x14ac:dyDescent="0.25">
      <c r="L51" s="2" t="s">
        <v>113</v>
      </c>
      <c r="M51" s="1">
        <v>20</v>
      </c>
      <c r="N51" s="1" t="str">
        <f t="shared" si="0"/>
        <v>7º Ano C</v>
      </c>
      <c r="O51" s="2">
        <v>11</v>
      </c>
      <c r="P51" s="1">
        <f t="shared" si="1"/>
        <v>58</v>
      </c>
      <c r="Q51" s="1" t="s">
        <v>45</v>
      </c>
      <c r="R51" s="2" t="s">
        <v>43</v>
      </c>
      <c r="S51" t="s">
        <v>44</v>
      </c>
    </row>
    <row r="52" spans="12:19" x14ac:dyDescent="0.25">
      <c r="L52" s="2" t="s">
        <v>113</v>
      </c>
      <c r="M52" s="1">
        <v>20</v>
      </c>
      <c r="N52" s="1" t="str">
        <f t="shared" si="0"/>
        <v>7º Ano C</v>
      </c>
      <c r="O52" s="2">
        <v>12</v>
      </c>
      <c r="P52" s="1">
        <f t="shared" si="1"/>
        <v>59</v>
      </c>
      <c r="Q52" s="1" t="s">
        <v>49</v>
      </c>
      <c r="R52" s="2" t="s">
        <v>102</v>
      </c>
      <c r="S52" t="s">
        <v>103</v>
      </c>
    </row>
    <row r="53" spans="12:19" x14ac:dyDescent="0.25">
      <c r="L53" s="2" t="s">
        <v>113</v>
      </c>
      <c r="M53" s="1">
        <v>20</v>
      </c>
      <c r="N53" s="1" t="str">
        <f t="shared" si="0"/>
        <v>7º Ano C</v>
      </c>
      <c r="O53" s="2">
        <v>13</v>
      </c>
      <c r="P53" s="1">
        <f t="shared" si="1"/>
        <v>60</v>
      </c>
      <c r="Q53" s="1" t="s">
        <v>53</v>
      </c>
      <c r="R53" s="2" t="s">
        <v>32</v>
      </c>
      <c r="S53" t="s">
        <v>33</v>
      </c>
    </row>
    <row r="54" spans="12:19" x14ac:dyDescent="0.25">
      <c r="L54" s="2" t="s">
        <v>113</v>
      </c>
      <c r="M54" s="1">
        <v>20</v>
      </c>
      <c r="N54" s="1" t="str">
        <f t="shared" si="0"/>
        <v>7º Ano C</v>
      </c>
      <c r="O54" s="2">
        <v>14</v>
      </c>
      <c r="P54" s="1">
        <f t="shared" si="1"/>
        <v>61</v>
      </c>
      <c r="Q54" s="1" t="s">
        <v>56</v>
      </c>
      <c r="R54" s="2" t="s">
        <v>66</v>
      </c>
      <c r="S54" t="s">
        <v>67</v>
      </c>
    </row>
    <row r="55" spans="12:19" x14ac:dyDescent="0.25">
      <c r="L55" s="2" t="s">
        <v>113</v>
      </c>
      <c r="M55" s="1">
        <v>20</v>
      </c>
      <c r="N55" s="1" t="str">
        <f t="shared" si="0"/>
        <v>7º Ano C</v>
      </c>
      <c r="O55" s="2">
        <v>15</v>
      </c>
      <c r="P55" s="1">
        <f t="shared" si="1"/>
        <v>62</v>
      </c>
      <c r="Q55" s="1" t="s">
        <v>59</v>
      </c>
      <c r="R55" s="2" t="s">
        <v>20</v>
      </c>
      <c r="S55" t="s">
        <v>21</v>
      </c>
    </row>
    <row r="56" spans="12:19" x14ac:dyDescent="0.25">
      <c r="L56" s="2" t="s">
        <v>113</v>
      </c>
      <c r="M56" s="1">
        <v>20</v>
      </c>
      <c r="N56" s="1" t="str">
        <f t="shared" si="0"/>
        <v>7º Ano C</v>
      </c>
      <c r="O56" s="2">
        <v>6</v>
      </c>
      <c r="P56" s="1">
        <f t="shared" si="1"/>
        <v>53</v>
      </c>
      <c r="Q56" s="1" t="s">
        <v>26</v>
      </c>
      <c r="R56" s="2" t="s">
        <v>10</v>
      </c>
      <c r="S56" t="s">
        <v>11</v>
      </c>
    </row>
    <row r="57" spans="12:19" x14ac:dyDescent="0.25">
      <c r="L57" s="2" t="s">
        <v>113</v>
      </c>
      <c r="M57" s="1">
        <v>20</v>
      </c>
      <c r="N57" s="1" t="str">
        <f t="shared" si="0"/>
        <v>7º Ano C</v>
      </c>
      <c r="O57" s="2">
        <v>1</v>
      </c>
      <c r="P57" s="1">
        <f t="shared" si="1"/>
        <v>48</v>
      </c>
      <c r="Q57" s="1" t="s">
        <v>8</v>
      </c>
      <c r="R57" s="2" t="s">
        <v>47</v>
      </c>
      <c r="S57" t="s">
        <v>48</v>
      </c>
    </row>
    <row r="58" spans="12:19" x14ac:dyDescent="0.25">
      <c r="L58" s="2" t="s">
        <v>113</v>
      </c>
      <c r="M58" s="1">
        <v>20</v>
      </c>
      <c r="N58" s="1" t="str">
        <f t="shared" si="0"/>
        <v>7º Ano C</v>
      </c>
      <c r="O58" s="2">
        <v>2</v>
      </c>
      <c r="P58" s="1">
        <f t="shared" si="1"/>
        <v>49</v>
      </c>
      <c r="Q58" s="1" t="s">
        <v>12</v>
      </c>
      <c r="R58" s="2" t="s">
        <v>75</v>
      </c>
      <c r="S58" t="s">
        <v>76</v>
      </c>
    </row>
    <row r="59" spans="12:19" x14ac:dyDescent="0.25">
      <c r="L59" s="2" t="s">
        <v>113</v>
      </c>
      <c r="M59" s="1">
        <v>20</v>
      </c>
      <c r="N59" s="1" t="str">
        <f t="shared" si="0"/>
        <v>7º Ano C</v>
      </c>
      <c r="O59" s="2">
        <v>16</v>
      </c>
      <c r="P59" s="1">
        <f t="shared" si="1"/>
        <v>63</v>
      </c>
      <c r="Q59" s="1" t="s">
        <v>62</v>
      </c>
      <c r="R59" s="2" t="s">
        <v>24</v>
      </c>
      <c r="S59" t="s">
        <v>25</v>
      </c>
    </row>
    <row r="60" spans="12:19" x14ac:dyDescent="0.25">
      <c r="L60" s="2" t="s">
        <v>114</v>
      </c>
      <c r="M60" s="1">
        <v>21</v>
      </c>
      <c r="N60" s="1" t="str">
        <f t="shared" si="0"/>
        <v>7º Ano D</v>
      </c>
      <c r="O60" s="2">
        <v>7</v>
      </c>
      <c r="P60" s="1">
        <f t="shared" si="1"/>
        <v>54</v>
      </c>
      <c r="Q60" s="1" t="s">
        <v>30</v>
      </c>
      <c r="R60" s="2" t="s">
        <v>54</v>
      </c>
      <c r="S60" t="s">
        <v>55</v>
      </c>
    </row>
    <row r="61" spans="12:19" x14ac:dyDescent="0.25">
      <c r="L61" s="2" t="s">
        <v>114</v>
      </c>
      <c r="M61" s="1">
        <v>21</v>
      </c>
      <c r="N61" s="1" t="str">
        <f t="shared" si="0"/>
        <v>7º Ano D</v>
      </c>
      <c r="O61" s="2">
        <v>4</v>
      </c>
      <c r="P61" s="1">
        <f t="shared" si="1"/>
        <v>51</v>
      </c>
      <c r="Q61" s="1" t="s">
        <v>18</v>
      </c>
      <c r="R61" s="2" t="s">
        <v>92</v>
      </c>
      <c r="S61" t="s">
        <v>93</v>
      </c>
    </row>
    <row r="62" spans="12:19" x14ac:dyDescent="0.25">
      <c r="L62" s="2" t="s">
        <v>114</v>
      </c>
      <c r="M62" s="1">
        <v>21</v>
      </c>
      <c r="N62" s="1" t="str">
        <f t="shared" si="0"/>
        <v>7º Ano D</v>
      </c>
      <c r="O62" s="2">
        <v>8</v>
      </c>
      <c r="P62" s="1">
        <f t="shared" si="1"/>
        <v>55</v>
      </c>
      <c r="Q62" s="1" t="s">
        <v>34</v>
      </c>
      <c r="R62" s="2" t="s">
        <v>94</v>
      </c>
      <c r="S62" t="s">
        <v>95</v>
      </c>
    </row>
    <row r="63" spans="12:19" x14ac:dyDescent="0.25">
      <c r="L63" s="2" t="s">
        <v>114</v>
      </c>
      <c r="M63" s="1">
        <v>21</v>
      </c>
      <c r="N63" s="1" t="str">
        <f t="shared" si="0"/>
        <v>7º Ano D</v>
      </c>
      <c r="O63" s="2">
        <v>9</v>
      </c>
      <c r="P63" s="1">
        <f t="shared" si="1"/>
        <v>56</v>
      </c>
      <c r="Q63" s="1" t="s">
        <v>38</v>
      </c>
      <c r="R63" s="2" t="s">
        <v>32</v>
      </c>
      <c r="S63" t="s">
        <v>33</v>
      </c>
    </row>
    <row r="64" spans="12:19" x14ac:dyDescent="0.25">
      <c r="L64" s="2" t="s">
        <v>114</v>
      </c>
      <c r="M64" s="1">
        <v>21</v>
      </c>
      <c r="N64" s="1" t="str">
        <f t="shared" si="0"/>
        <v>7º Ano D</v>
      </c>
      <c r="O64" s="2">
        <v>10</v>
      </c>
      <c r="P64" s="1">
        <f t="shared" si="1"/>
        <v>57</v>
      </c>
      <c r="Q64" s="1" t="s">
        <v>41</v>
      </c>
      <c r="R64" s="2" t="s">
        <v>88</v>
      </c>
      <c r="S64" t="s">
        <v>89</v>
      </c>
    </row>
    <row r="65" spans="12:19" x14ac:dyDescent="0.25">
      <c r="L65" s="2" t="s">
        <v>114</v>
      </c>
      <c r="M65" s="1">
        <v>21</v>
      </c>
      <c r="N65" s="1" t="str">
        <f t="shared" si="0"/>
        <v>7º Ano D</v>
      </c>
      <c r="O65" s="2">
        <v>11</v>
      </c>
      <c r="P65" s="1">
        <f t="shared" si="1"/>
        <v>58</v>
      </c>
      <c r="Q65" s="1" t="s">
        <v>45</v>
      </c>
      <c r="R65" s="2" t="s">
        <v>43</v>
      </c>
      <c r="S65" t="s">
        <v>44</v>
      </c>
    </row>
    <row r="66" spans="12:19" x14ac:dyDescent="0.25">
      <c r="L66" s="2" t="s">
        <v>114</v>
      </c>
      <c r="M66" s="1">
        <v>21</v>
      </c>
      <c r="N66" s="1" t="str">
        <f t="shared" si="0"/>
        <v>7º Ano D</v>
      </c>
      <c r="O66" s="2">
        <v>12</v>
      </c>
      <c r="P66" s="1">
        <f t="shared" si="1"/>
        <v>59</v>
      </c>
      <c r="Q66" s="1" t="s">
        <v>49</v>
      </c>
      <c r="R66" s="2" t="s">
        <v>102</v>
      </c>
      <c r="S66" t="s">
        <v>103</v>
      </c>
    </row>
    <row r="67" spans="12:19" x14ac:dyDescent="0.25">
      <c r="L67" s="2" t="s">
        <v>114</v>
      </c>
      <c r="M67" s="1">
        <v>21</v>
      </c>
      <c r="N67" s="1" t="str">
        <f t="shared" ref="N67:N130" si="2">VLOOKUP(L67,G:I,3,FALSE)</f>
        <v>7º Ano D</v>
      </c>
      <c r="O67" s="2">
        <v>13</v>
      </c>
      <c r="P67" s="1">
        <f t="shared" ref="P67:P130" si="3">VLOOKUP(Q67,D:F,2,FALSE)</f>
        <v>60</v>
      </c>
      <c r="Q67" s="1" t="s">
        <v>53</v>
      </c>
      <c r="R67" s="2" t="s">
        <v>32</v>
      </c>
      <c r="S67" t="s">
        <v>33</v>
      </c>
    </row>
    <row r="68" spans="12:19" x14ac:dyDescent="0.25">
      <c r="L68" s="2" t="s">
        <v>114</v>
      </c>
      <c r="M68" s="1">
        <v>21</v>
      </c>
      <c r="N68" s="1" t="str">
        <f t="shared" si="2"/>
        <v>7º Ano D</v>
      </c>
      <c r="O68" s="2">
        <v>14</v>
      </c>
      <c r="P68" s="1">
        <f t="shared" si="3"/>
        <v>61</v>
      </c>
      <c r="Q68" s="1" t="s">
        <v>56</v>
      </c>
      <c r="R68" s="2" t="s">
        <v>66</v>
      </c>
      <c r="S68" t="s">
        <v>67</v>
      </c>
    </row>
    <row r="69" spans="12:19" x14ac:dyDescent="0.25">
      <c r="L69" s="2" t="s">
        <v>114</v>
      </c>
      <c r="M69" s="1">
        <v>21</v>
      </c>
      <c r="N69" s="1" t="str">
        <f t="shared" si="2"/>
        <v>7º Ano D</v>
      </c>
      <c r="O69" s="2">
        <v>15</v>
      </c>
      <c r="P69" s="1">
        <f t="shared" si="3"/>
        <v>62</v>
      </c>
      <c r="Q69" s="1" t="s">
        <v>59</v>
      </c>
      <c r="R69" s="2" t="s">
        <v>20</v>
      </c>
      <c r="S69" t="s">
        <v>21</v>
      </c>
    </row>
    <row r="70" spans="12:19" x14ac:dyDescent="0.25">
      <c r="L70" s="2" t="s">
        <v>114</v>
      </c>
      <c r="M70" s="1">
        <v>21</v>
      </c>
      <c r="N70" s="1" t="str">
        <f t="shared" si="2"/>
        <v>7º Ano D</v>
      </c>
      <c r="O70" s="2">
        <v>6</v>
      </c>
      <c r="P70" s="1">
        <f t="shared" si="3"/>
        <v>53</v>
      </c>
      <c r="Q70" s="1" t="s">
        <v>26</v>
      </c>
      <c r="R70" s="2" t="s">
        <v>10</v>
      </c>
      <c r="S70" t="s">
        <v>11</v>
      </c>
    </row>
    <row r="71" spans="12:19" x14ac:dyDescent="0.25">
      <c r="L71" s="2" t="s">
        <v>114</v>
      </c>
      <c r="M71" s="1">
        <v>21</v>
      </c>
      <c r="N71" s="1" t="str">
        <f t="shared" si="2"/>
        <v>7º Ano D</v>
      </c>
      <c r="O71" s="2">
        <v>1</v>
      </c>
      <c r="P71" s="1">
        <f t="shared" si="3"/>
        <v>48</v>
      </c>
      <c r="Q71" s="1" t="s">
        <v>8</v>
      </c>
      <c r="R71" s="2" t="s">
        <v>72</v>
      </c>
      <c r="S71" t="s">
        <v>73</v>
      </c>
    </row>
    <row r="72" spans="12:19" x14ac:dyDescent="0.25">
      <c r="L72" s="2" t="s">
        <v>114</v>
      </c>
      <c r="M72" s="1">
        <v>21</v>
      </c>
      <c r="N72" s="1" t="str">
        <f t="shared" si="2"/>
        <v>7º Ano D</v>
      </c>
      <c r="O72" s="2">
        <v>2</v>
      </c>
      <c r="P72" s="1">
        <f t="shared" si="3"/>
        <v>49</v>
      </c>
      <c r="Q72" s="1" t="s">
        <v>12</v>
      </c>
      <c r="R72" s="2" t="s">
        <v>75</v>
      </c>
      <c r="S72" t="s">
        <v>76</v>
      </c>
    </row>
    <row r="73" spans="12:19" x14ac:dyDescent="0.25">
      <c r="L73" s="2" t="s">
        <v>114</v>
      </c>
      <c r="M73" s="1">
        <v>21</v>
      </c>
      <c r="N73" s="1" t="str">
        <f t="shared" si="2"/>
        <v>7º Ano D</v>
      </c>
      <c r="O73" s="2">
        <v>16</v>
      </c>
      <c r="P73" s="1">
        <f t="shared" si="3"/>
        <v>63</v>
      </c>
      <c r="Q73" s="1" t="s">
        <v>62</v>
      </c>
      <c r="R73" s="2" t="s">
        <v>24</v>
      </c>
      <c r="S73" t="s">
        <v>25</v>
      </c>
    </row>
    <row r="74" spans="12:19" x14ac:dyDescent="0.25">
      <c r="L74" s="2" t="s">
        <v>115</v>
      </c>
      <c r="M74" s="1">
        <v>22</v>
      </c>
      <c r="N74" s="1" t="str">
        <f t="shared" si="2"/>
        <v>8º Ano A</v>
      </c>
      <c r="O74" s="2">
        <v>7</v>
      </c>
      <c r="P74" s="1">
        <f t="shared" si="3"/>
        <v>54</v>
      </c>
      <c r="Q74" s="1" t="s">
        <v>30</v>
      </c>
      <c r="R74" s="2" t="s">
        <v>54</v>
      </c>
      <c r="S74" t="s">
        <v>55</v>
      </c>
    </row>
    <row r="75" spans="12:19" x14ac:dyDescent="0.25">
      <c r="L75" s="2" t="s">
        <v>115</v>
      </c>
      <c r="M75" s="1">
        <v>22</v>
      </c>
      <c r="N75" s="1" t="str">
        <f t="shared" si="2"/>
        <v>8º Ano A</v>
      </c>
      <c r="O75" s="2">
        <v>4</v>
      </c>
      <c r="P75" s="1">
        <f t="shared" si="3"/>
        <v>51</v>
      </c>
      <c r="Q75" s="1" t="s">
        <v>18</v>
      </c>
      <c r="R75" s="2" t="s">
        <v>98</v>
      </c>
      <c r="S75" t="s">
        <v>99</v>
      </c>
    </row>
    <row r="76" spans="12:19" x14ac:dyDescent="0.25">
      <c r="L76" s="2" t="s">
        <v>115</v>
      </c>
      <c r="M76" s="1">
        <v>22</v>
      </c>
      <c r="N76" s="1" t="str">
        <f t="shared" si="2"/>
        <v>8º Ano A</v>
      </c>
      <c r="O76" s="2">
        <v>8</v>
      </c>
      <c r="P76" s="1">
        <f t="shared" si="3"/>
        <v>55</v>
      </c>
      <c r="Q76" s="1" t="s">
        <v>34</v>
      </c>
      <c r="R76" s="2" t="s">
        <v>84</v>
      </c>
      <c r="S76" t="s">
        <v>85</v>
      </c>
    </row>
    <row r="77" spans="12:19" x14ac:dyDescent="0.25">
      <c r="L77" s="2" t="s">
        <v>115</v>
      </c>
      <c r="M77" s="1">
        <v>22</v>
      </c>
      <c r="N77" s="1" t="str">
        <f t="shared" si="2"/>
        <v>8º Ano A</v>
      </c>
      <c r="O77" s="2">
        <v>9</v>
      </c>
      <c r="P77" s="1">
        <f t="shared" si="3"/>
        <v>56</v>
      </c>
      <c r="Q77" s="1" t="s">
        <v>38</v>
      </c>
      <c r="R77" s="2" t="s">
        <v>100</v>
      </c>
      <c r="S77" t="s">
        <v>101</v>
      </c>
    </row>
    <row r="78" spans="12:19" x14ac:dyDescent="0.25">
      <c r="L78" s="2" t="s">
        <v>115</v>
      </c>
      <c r="M78" s="1">
        <v>22</v>
      </c>
      <c r="N78" s="1" t="str">
        <f t="shared" si="2"/>
        <v>8º Ano A</v>
      </c>
      <c r="O78" s="2">
        <v>10</v>
      </c>
      <c r="P78" s="1">
        <f t="shared" si="3"/>
        <v>57</v>
      </c>
      <c r="Q78" s="1" t="s">
        <v>41</v>
      </c>
      <c r="R78" s="2" t="s">
        <v>88</v>
      </c>
      <c r="S78" t="s">
        <v>89</v>
      </c>
    </row>
    <row r="79" spans="12:19" x14ac:dyDescent="0.25">
      <c r="L79" s="2" t="s">
        <v>115</v>
      </c>
      <c r="M79" s="1">
        <v>22</v>
      </c>
      <c r="N79" s="1" t="str">
        <f t="shared" si="2"/>
        <v>8º Ano A</v>
      </c>
      <c r="O79" s="2">
        <v>11</v>
      </c>
      <c r="P79" s="1">
        <f t="shared" si="3"/>
        <v>58</v>
      </c>
      <c r="Q79" s="1" t="s">
        <v>45</v>
      </c>
      <c r="R79" s="2" t="s">
        <v>43</v>
      </c>
      <c r="S79" t="s">
        <v>44</v>
      </c>
    </row>
    <row r="80" spans="12:19" x14ac:dyDescent="0.25">
      <c r="L80" s="2" t="s">
        <v>115</v>
      </c>
      <c r="M80" s="1">
        <v>22</v>
      </c>
      <c r="N80" s="1" t="str">
        <f t="shared" si="2"/>
        <v>8º Ano A</v>
      </c>
      <c r="O80" s="2">
        <v>12</v>
      </c>
      <c r="P80" s="1">
        <f t="shared" si="3"/>
        <v>59</v>
      </c>
      <c r="Q80" s="1" t="s">
        <v>49</v>
      </c>
      <c r="R80" s="2" t="s">
        <v>20</v>
      </c>
      <c r="S80" t="s">
        <v>21</v>
      </c>
    </row>
    <row r="81" spans="12:19" x14ac:dyDescent="0.25">
      <c r="L81" s="2" t="s">
        <v>115</v>
      </c>
      <c r="M81" s="1">
        <v>22</v>
      </c>
      <c r="N81" s="1" t="str">
        <f t="shared" si="2"/>
        <v>8º Ano A</v>
      </c>
      <c r="O81" s="2">
        <v>13</v>
      </c>
      <c r="P81" s="1">
        <f t="shared" si="3"/>
        <v>60</v>
      </c>
      <c r="Q81" s="1" t="s">
        <v>53</v>
      </c>
      <c r="R81" s="2" t="s">
        <v>32</v>
      </c>
      <c r="S81" t="s">
        <v>33</v>
      </c>
    </row>
    <row r="82" spans="12:19" x14ac:dyDescent="0.25">
      <c r="L82" s="2" t="s">
        <v>115</v>
      </c>
      <c r="M82" s="1">
        <v>22</v>
      </c>
      <c r="N82" s="1" t="str">
        <f t="shared" si="2"/>
        <v>8º Ano A</v>
      </c>
      <c r="O82" s="2">
        <v>14</v>
      </c>
      <c r="P82" s="1">
        <f t="shared" si="3"/>
        <v>61</v>
      </c>
      <c r="Q82" s="1" t="s">
        <v>56</v>
      </c>
      <c r="R82" s="2" t="s">
        <v>66</v>
      </c>
      <c r="S82" t="s">
        <v>67</v>
      </c>
    </row>
    <row r="83" spans="12:19" x14ac:dyDescent="0.25">
      <c r="L83" s="2" t="s">
        <v>115</v>
      </c>
      <c r="M83" s="1">
        <v>22</v>
      </c>
      <c r="N83" s="1" t="str">
        <f t="shared" si="2"/>
        <v>8º Ano A</v>
      </c>
      <c r="O83" s="2">
        <v>15</v>
      </c>
      <c r="P83" s="1">
        <f t="shared" si="3"/>
        <v>62</v>
      </c>
      <c r="Q83" s="1" t="s">
        <v>59</v>
      </c>
      <c r="R83" s="2" t="s">
        <v>69</v>
      </c>
      <c r="S83" t="s">
        <v>70</v>
      </c>
    </row>
    <row r="84" spans="12:19" x14ac:dyDescent="0.25">
      <c r="L84" s="2" t="s">
        <v>115</v>
      </c>
      <c r="M84" s="1">
        <v>22</v>
      </c>
      <c r="N84" s="1" t="str">
        <f t="shared" si="2"/>
        <v>8º Ano A</v>
      </c>
      <c r="O84" s="2">
        <v>6</v>
      </c>
      <c r="P84" s="1">
        <f t="shared" si="3"/>
        <v>53</v>
      </c>
      <c r="Q84" s="1" t="s">
        <v>26</v>
      </c>
      <c r="R84" s="2" t="s">
        <v>10</v>
      </c>
      <c r="S84" t="s">
        <v>11</v>
      </c>
    </row>
    <row r="85" spans="12:19" x14ac:dyDescent="0.25">
      <c r="L85" s="2" t="s">
        <v>115</v>
      </c>
      <c r="M85" s="1">
        <v>22</v>
      </c>
      <c r="N85" s="1" t="str">
        <f t="shared" si="2"/>
        <v>8º Ano A</v>
      </c>
      <c r="O85" s="2">
        <v>1</v>
      </c>
      <c r="P85" s="1">
        <f t="shared" si="3"/>
        <v>48</v>
      </c>
      <c r="Q85" s="1" t="s">
        <v>8</v>
      </c>
      <c r="R85" s="2" t="s">
        <v>86</v>
      </c>
      <c r="S85" t="s">
        <v>87</v>
      </c>
    </row>
    <row r="86" spans="12:19" x14ac:dyDescent="0.25">
      <c r="L86" s="2" t="s">
        <v>115</v>
      </c>
      <c r="M86" s="1">
        <v>22</v>
      </c>
      <c r="N86" s="1" t="str">
        <f t="shared" si="2"/>
        <v>8º Ano A</v>
      </c>
      <c r="O86" s="2">
        <v>2</v>
      </c>
      <c r="P86" s="1">
        <f t="shared" si="3"/>
        <v>49</v>
      </c>
      <c r="Q86" s="1" t="s">
        <v>12</v>
      </c>
      <c r="R86" s="2" t="s">
        <v>51</v>
      </c>
      <c r="S86" t="s">
        <v>52</v>
      </c>
    </row>
    <row r="87" spans="12:19" x14ac:dyDescent="0.25">
      <c r="L87" s="2" t="s">
        <v>115</v>
      </c>
      <c r="M87" s="1">
        <v>22</v>
      </c>
      <c r="N87" s="1" t="str">
        <f t="shared" si="2"/>
        <v>8º Ano A</v>
      </c>
      <c r="O87" s="2">
        <v>16</v>
      </c>
      <c r="P87" s="1">
        <f t="shared" si="3"/>
        <v>63</v>
      </c>
      <c r="Q87" s="1" t="s">
        <v>62</v>
      </c>
      <c r="R87" s="2" t="s">
        <v>24</v>
      </c>
      <c r="S87" t="s">
        <v>25</v>
      </c>
    </row>
    <row r="88" spans="12:19" x14ac:dyDescent="0.25">
      <c r="L88" s="2" t="s">
        <v>116</v>
      </c>
      <c r="M88" s="1">
        <v>23</v>
      </c>
      <c r="N88" s="1" t="str">
        <f t="shared" si="2"/>
        <v>8º Ano B</v>
      </c>
      <c r="O88" s="2">
        <v>7</v>
      </c>
      <c r="P88" s="1">
        <f t="shared" si="3"/>
        <v>54</v>
      </c>
      <c r="Q88" s="1" t="s">
        <v>30</v>
      </c>
      <c r="R88" s="2" t="s">
        <v>54</v>
      </c>
      <c r="S88" t="s">
        <v>55</v>
      </c>
    </row>
    <row r="89" spans="12:19" x14ac:dyDescent="0.25">
      <c r="L89" s="2" t="s">
        <v>116</v>
      </c>
      <c r="M89" s="1">
        <v>23</v>
      </c>
      <c r="N89" s="1" t="str">
        <f t="shared" si="2"/>
        <v>8º Ano B</v>
      </c>
      <c r="O89" s="2">
        <v>4</v>
      </c>
      <c r="P89" s="1">
        <f t="shared" si="3"/>
        <v>51</v>
      </c>
      <c r="Q89" s="1" t="s">
        <v>18</v>
      </c>
      <c r="R89" s="2" t="s">
        <v>98</v>
      </c>
      <c r="S89" t="s">
        <v>99</v>
      </c>
    </row>
    <row r="90" spans="12:19" x14ac:dyDescent="0.25">
      <c r="L90" s="2" t="s">
        <v>116</v>
      </c>
      <c r="M90" s="1">
        <v>23</v>
      </c>
      <c r="N90" s="1" t="str">
        <f t="shared" si="2"/>
        <v>8º Ano B</v>
      </c>
      <c r="O90" s="2">
        <v>8</v>
      </c>
      <c r="P90" s="1">
        <f t="shared" si="3"/>
        <v>55</v>
      </c>
      <c r="Q90" s="1" t="s">
        <v>34</v>
      </c>
      <c r="R90" s="2" t="s">
        <v>28</v>
      </c>
      <c r="S90" t="s">
        <v>29</v>
      </c>
    </row>
    <row r="91" spans="12:19" x14ac:dyDescent="0.25">
      <c r="L91" s="2" t="s">
        <v>116</v>
      </c>
      <c r="M91" s="1">
        <v>23</v>
      </c>
      <c r="N91" s="1" t="str">
        <f t="shared" si="2"/>
        <v>8º Ano B</v>
      </c>
      <c r="O91" s="2">
        <v>9</v>
      </c>
      <c r="P91" s="1">
        <f t="shared" si="3"/>
        <v>56</v>
      </c>
      <c r="Q91" s="1" t="s">
        <v>38</v>
      </c>
      <c r="R91" s="2" t="s">
        <v>100</v>
      </c>
      <c r="S91" t="s">
        <v>101</v>
      </c>
    </row>
    <row r="92" spans="12:19" x14ac:dyDescent="0.25">
      <c r="L92" s="2" t="s">
        <v>116</v>
      </c>
      <c r="M92" s="1">
        <v>23</v>
      </c>
      <c r="N92" s="1" t="str">
        <f t="shared" si="2"/>
        <v>8º Ano B</v>
      </c>
      <c r="O92" s="2">
        <v>10</v>
      </c>
      <c r="P92" s="1">
        <f t="shared" si="3"/>
        <v>57</v>
      </c>
      <c r="Q92" s="1" t="s">
        <v>41</v>
      </c>
      <c r="R92" s="2" t="s">
        <v>88</v>
      </c>
      <c r="S92" t="s">
        <v>89</v>
      </c>
    </row>
    <row r="93" spans="12:19" x14ac:dyDescent="0.25">
      <c r="L93" s="2" t="s">
        <v>116</v>
      </c>
      <c r="M93" s="1">
        <v>23</v>
      </c>
      <c r="N93" s="1" t="str">
        <f t="shared" si="2"/>
        <v>8º Ano B</v>
      </c>
      <c r="O93" s="2">
        <v>11</v>
      </c>
      <c r="P93" s="1">
        <f t="shared" si="3"/>
        <v>58</v>
      </c>
      <c r="Q93" s="1" t="s">
        <v>45</v>
      </c>
      <c r="R93" s="2" t="s">
        <v>43</v>
      </c>
      <c r="S93" t="s">
        <v>44</v>
      </c>
    </row>
    <row r="94" spans="12:19" x14ac:dyDescent="0.25">
      <c r="L94" s="2" t="s">
        <v>116</v>
      </c>
      <c r="M94" s="1">
        <v>23</v>
      </c>
      <c r="N94" s="1" t="str">
        <f t="shared" si="2"/>
        <v>8º Ano B</v>
      </c>
      <c r="O94" s="2">
        <v>12</v>
      </c>
      <c r="P94" s="1">
        <f t="shared" si="3"/>
        <v>59</v>
      </c>
      <c r="Q94" s="1" t="s">
        <v>49</v>
      </c>
      <c r="R94" s="2" t="s">
        <v>20</v>
      </c>
      <c r="S94" t="s">
        <v>21</v>
      </c>
    </row>
    <row r="95" spans="12:19" x14ac:dyDescent="0.25">
      <c r="L95" s="2" t="s">
        <v>116</v>
      </c>
      <c r="M95" s="1">
        <v>23</v>
      </c>
      <c r="N95" s="1" t="str">
        <f t="shared" si="2"/>
        <v>8º Ano B</v>
      </c>
      <c r="O95" s="2">
        <v>13</v>
      </c>
      <c r="P95" s="1">
        <f t="shared" si="3"/>
        <v>60</v>
      </c>
      <c r="Q95" s="1" t="s">
        <v>53</v>
      </c>
      <c r="R95" s="2" t="s">
        <v>32</v>
      </c>
      <c r="S95" t="s">
        <v>33</v>
      </c>
    </row>
    <row r="96" spans="12:19" x14ac:dyDescent="0.25">
      <c r="L96" s="2" t="s">
        <v>116</v>
      </c>
      <c r="M96" s="1">
        <v>23</v>
      </c>
      <c r="N96" s="1" t="str">
        <f t="shared" si="2"/>
        <v>8º Ano B</v>
      </c>
      <c r="O96" s="2">
        <v>14</v>
      </c>
      <c r="P96" s="1">
        <f t="shared" si="3"/>
        <v>61</v>
      </c>
      <c r="Q96" s="1" t="s">
        <v>56</v>
      </c>
      <c r="R96" s="2" t="s">
        <v>66</v>
      </c>
      <c r="S96" t="s">
        <v>67</v>
      </c>
    </row>
    <row r="97" spans="12:19" x14ac:dyDescent="0.25">
      <c r="L97" s="2" t="s">
        <v>116</v>
      </c>
      <c r="M97" s="1">
        <v>23</v>
      </c>
      <c r="N97" s="1" t="str">
        <f t="shared" si="2"/>
        <v>8º Ano B</v>
      </c>
      <c r="O97" s="2">
        <v>15</v>
      </c>
      <c r="P97" s="1">
        <f t="shared" si="3"/>
        <v>62</v>
      </c>
      <c r="Q97" s="1" t="s">
        <v>59</v>
      </c>
      <c r="R97" s="2" t="s">
        <v>69</v>
      </c>
      <c r="S97" t="s">
        <v>70</v>
      </c>
    </row>
    <row r="98" spans="12:19" x14ac:dyDescent="0.25">
      <c r="L98" s="2" t="s">
        <v>116</v>
      </c>
      <c r="M98" s="1">
        <v>23</v>
      </c>
      <c r="N98" s="1" t="str">
        <f t="shared" si="2"/>
        <v>8º Ano B</v>
      </c>
      <c r="O98" s="2">
        <v>6</v>
      </c>
      <c r="P98" s="1">
        <f t="shared" si="3"/>
        <v>53</v>
      </c>
      <c r="Q98" s="1" t="s">
        <v>26</v>
      </c>
      <c r="R98" s="2" t="s">
        <v>10</v>
      </c>
      <c r="S98" t="s">
        <v>11</v>
      </c>
    </row>
    <row r="99" spans="12:19" x14ac:dyDescent="0.25">
      <c r="L99" s="2" t="s">
        <v>116</v>
      </c>
      <c r="M99" s="1">
        <v>23</v>
      </c>
      <c r="N99" s="1" t="str">
        <f t="shared" si="2"/>
        <v>8º Ano B</v>
      </c>
      <c r="O99" s="2">
        <v>1</v>
      </c>
      <c r="P99" s="1">
        <f t="shared" si="3"/>
        <v>48</v>
      </c>
      <c r="Q99" s="1" t="s">
        <v>8</v>
      </c>
      <c r="R99" s="2" t="s">
        <v>86</v>
      </c>
      <c r="S99" t="s">
        <v>87</v>
      </c>
    </row>
    <row r="100" spans="12:19" x14ac:dyDescent="0.25">
      <c r="L100" s="2" t="s">
        <v>116</v>
      </c>
      <c r="M100" s="1">
        <v>23</v>
      </c>
      <c r="N100" s="1" t="str">
        <f t="shared" si="2"/>
        <v>8º Ano B</v>
      </c>
      <c r="O100" s="2">
        <v>2</v>
      </c>
      <c r="P100" s="1">
        <f t="shared" si="3"/>
        <v>49</v>
      </c>
      <c r="Q100" s="1" t="s">
        <v>12</v>
      </c>
      <c r="R100" s="2" t="s">
        <v>51</v>
      </c>
      <c r="S100" t="s">
        <v>52</v>
      </c>
    </row>
    <row r="101" spans="12:19" x14ac:dyDescent="0.25">
      <c r="L101" s="2" t="s">
        <v>116</v>
      </c>
      <c r="M101" s="1">
        <v>23</v>
      </c>
      <c r="N101" s="1" t="str">
        <f t="shared" si="2"/>
        <v>8º Ano B</v>
      </c>
      <c r="O101" s="2">
        <v>16</v>
      </c>
      <c r="P101" s="1">
        <f t="shared" si="3"/>
        <v>63</v>
      </c>
      <c r="Q101" s="1" t="s">
        <v>62</v>
      </c>
      <c r="R101" s="2" t="s">
        <v>24</v>
      </c>
      <c r="S101" t="s">
        <v>25</v>
      </c>
    </row>
    <row r="102" spans="12:19" x14ac:dyDescent="0.25">
      <c r="L102" s="2" t="s">
        <v>109</v>
      </c>
      <c r="M102" s="1">
        <v>24</v>
      </c>
      <c r="N102" s="1" t="str">
        <f t="shared" si="2"/>
        <v>8º Ano C</v>
      </c>
      <c r="O102" s="2">
        <v>7</v>
      </c>
      <c r="P102" s="1">
        <f t="shared" si="3"/>
        <v>54</v>
      </c>
      <c r="Q102" s="1" t="s">
        <v>30</v>
      </c>
      <c r="R102" s="2" t="s">
        <v>54</v>
      </c>
      <c r="S102" t="s">
        <v>55</v>
      </c>
    </row>
    <row r="103" spans="12:19" x14ac:dyDescent="0.25">
      <c r="L103" s="2" t="s">
        <v>109</v>
      </c>
      <c r="M103" s="1">
        <v>24</v>
      </c>
      <c r="N103" s="1" t="str">
        <f t="shared" si="2"/>
        <v>8º Ano C</v>
      </c>
      <c r="O103" s="2">
        <v>4</v>
      </c>
      <c r="P103" s="1">
        <f t="shared" si="3"/>
        <v>51</v>
      </c>
      <c r="Q103" s="1" t="s">
        <v>18</v>
      </c>
      <c r="R103" s="2" t="s">
        <v>98</v>
      </c>
      <c r="S103" t="s">
        <v>99</v>
      </c>
    </row>
    <row r="104" spans="12:19" x14ac:dyDescent="0.25">
      <c r="L104" s="2" t="s">
        <v>109</v>
      </c>
      <c r="M104" s="1">
        <v>24</v>
      </c>
      <c r="N104" s="1" t="str">
        <f t="shared" si="2"/>
        <v>8º Ano C</v>
      </c>
      <c r="O104" s="2">
        <v>8</v>
      </c>
      <c r="P104" s="1">
        <f t="shared" si="3"/>
        <v>55</v>
      </c>
      <c r="Q104" s="1" t="s">
        <v>34</v>
      </c>
      <c r="R104" s="2" t="s">
        <v>86</v>
      </c>
      <c r="S104" t="s">
        <v>87</v>
      </c>
    </row>
    <row r="105" spans="12:19" x14ac:dyDescent="0.25">
      <c r="L105" s="2" t="s">
        <v>109</v>
      </c>
      <c r="M105" s="1">
        <v>24</v>
      </c>
      <c r="N105" s="1" t="str">
        <f t="shared" si="2"/>
        <v>8º Ano C</v>
      </c>
      <c r="O105" s="2">
        <v>9</v>
      </c>
      <c r="P105" s="1">
        <f t="shared" si="3"/>
        <v>56</v>
      </c>
      <c r="Q105" s="1" t="s">
        <v>38</v>
      </c>
      <c r="R105" s="2" t="s">
        <v>100</v>
      </c>
      <c r="S105" t="s">
        <v>101</v>
      </c>
    </row>
    <row r="106" spans="12:19" x14ac:dyDescent="0.25">
      <c r="L106" s="2" t="s">
        <v>109</v>
      </c>
      <c r="M106" s="1">
        <v>24</v>
      </c>
      <c r="N106" s="1" t="str">
        <f t="shared" si="2"/>
        <v>8º Ano C</v>
      </c>
      <c r="O106" s="2">
        <v>10</v>
      </c>
      <c r="P106" s="1">
        <f t="shared" si="3"/>
        <v>57</v>
      </c>
      <c r="Q106" s="1" t="s">
        <v>41</v>
      </c>
      <c r="R106" s="2" t="s">
        <v>88</v>
      </c>
      <c r="S106" t="s">
        <v>89</v>
      </c>
    </row>
    <row r="107" spans="12:19" x14ac:dyDescent="0.25">
      <c r="L107" s="2" t="s">
        <v>109</v>
      </c>
      <c r="M107" s="1">
        <v>24</v>
      </c>
      <c r="N107" s="1" t="str">
        <f t="shared" si="2"/>
        <v>8º Ano C</v>
      </c>
      <c r="O107" s="2">
        <v>11</v>
      </c>
      <c r="P107" s="1">
        <f t="shared" si="3"/>
        <v>58</v>
      </c>
      <c r="Q107" s="1" t="s">
        <v>45</v>
      </c>
      <c r="R107" s="2" t="s">
        <v>43</v>
      </c>
      <c r="S107" t="s">
        <v>44</v>
      </c>
    </row>
    <row r="108" spans="12:19" x14ac:dyDescent="0.25">
      <c r="L108" s="2" t="s">
        <v>109</v>
      </c>
      <c r="M108" s="1">
        <v>24</v>
      </c>
      <c r="N108" s="1" t="str">
        <f t="shared" si="2"/>
        <v>8º Ano C</v>
      </c>
      <c r="O108" s="2">
        <v>12</v>
      </c>
      <c r="P108" s="1">
        <f t="shared" si="3"/>
        <v>59</v>
      </c>
      <c r="Q108" s="1" t="s">
        <v>49</v>
      </c>
      <c r="R108" s="2" t="s">
        <v>20</v>
      </c>
      <c r="S108" t="s">
        <v>21</v>
      </c>
    </row>
    <row r="109" spans="12:19" x14ac:dyDescent="0.25">
      <c r="L109" s="2" t="s">
        <v>109</v>
      </c>
      <c r="M109" s="1">
        <v>24</v>
      </c>
      <c r="N109" s="1" t="str">
        <f t="shared" si="2"/>
        <v>8º Ano C</v>
      </c>
      <c r="O109" s="2">
        <v>13</v>
      </c>
      <c r="P109" s="1">
        <f t="shared" si="3"/>
        <v>60</v>
      </c>
      <c r="Q109" s="1" t="s">
        <v>53</v>
      </c>
      <c r="R109" s="2" t="s">
        <v>32</v>
      </c>
      <c r="S109" t="s">
        <v>33</v>
      </c>
    </row>
    <row r="110" spans="12:19" x14ac:dyDescent="0.25">
      <c r="L110" s="2" t="s">
        <v>109</v>
      </c>
      <c r="M110" s="1">
        <v>24</v>
      </c>
      <c r="N110" s="1" t="str">
        <f t="shared" si="2"/>
        <v>8º Ano C</v>
      </c>
      <c r="O110" s="2">
        <v>14</v>
      </c>
      <c r="P110" s="1">
        <f t="shared" si="3"/>
        <v>61</v>
      </c>
      <c r="Q110" s="1" t="s">
        <v>56</v>
      </c>
      <c r="R110" s="2" t="s">
        <v>66</v>
      </c>
      <c r="S110" t="s">
        <v>67</v>
      </c>
    </row>
    <row r="111" spans="12:19" x14ac:dyDescent="0.25">
      <c r="L111" s="2" t="s">
        <v>109</v>
      </c>
      <c r="M111" s="1">
        <v>24</v>
      </c>
      <c r="N111" s="1" t="str">
        <f t="shared" si="2"/>
        <v>8º Ano C</v>
      </c>
      <c r="O111" s="2">
        <v>15</v>
      </c>
      <c r="P111" s="1">
        <f t="shared" si="3"/>
        <v>62</v>
      </c>
      <c r="Q111" s="1" t="s">
        <v>59</v>
      </c>
      <c r="R111" s="2" t="s">
        <v>69</v>
      </c>
      <c r="S111" t="s">
        <v>70</v>
      </c>
    </row>
    <row r="112" spans="12:19" x14ac:dyDescent="0.25">
      <c r="L112" s="2" t="s">
        <v>109</v>
      </c>
      <c r="M112" s="1">
        <v>24</v>
      </c>
      <c r="N112" s="1" t="str">
        <f t="shared" si="2"/>
        <v>8º Ano C</v>
      </c>
      <c r="O112" s="2">
        <v>6</v>
      </c>
      <c r="P112" s="1">
        <f t="shared" si="3"/>
        <v>53</v>
      </c>
      <c r="Q112" s="1" t="s">
        <v>26</v>
      </c>
      <c r="R112" s="2" t="s">
        <v>10</v>
      </c>
      <c r="S112" t="s">
        <v>11</v>
      </c>
    </row>
    <row r="113" spans="12:19" x14ac:dyDescent="0.25">
      <c r="L113" s="2" t="s">
        <v>109</v>
      </c>
      <c r="M113" s="1">
        <v>24</v>
      </c>
      <c r="N113" s="1" t="str">
        <f t="shared" si="2"/>
        <v>8º Ano C</v>
      </c>
      <c r="O113" s="2">
        <v>1</v>
      </c>
      <c r="P113" s="1">
        <f t="shared" si="3"/>
        <v>48</v>
      </c>
      <c r="Q113" s="1" t="s">
        <v>8</v>
      </c>
      <c r="R113" s="2" t="s">
        <v>47</v>
      </c>
      <c r="S113" t="s">
        <v>48</v>
      </c>
    </row>
    <row r="114" spans="12:19" x14ac:dyDescent="0.25">
      <c r="L114" s="2" t="s">
        <v>109</v>
      </c>
      <c r="M114" s="1">
        <v>24</v>
      </c>
      <c r="N114" s="1" t="str">
        <f t="shared" si="2"/>
        <v>8º Ano C</v>
      </c>
      <c r="O114" s="2">
        <v>2</v>
      </c>
      <c r="P114" s="1">
        <f t="shared" si="3"/>
        <v>49</v>
      </c>
      <c r="Q114" s="1" t="s">
        <v>12</v>
      </c>
      <c r="R114" s="2" t="s">
        <v>40</v>
      </c>
      <c r="S114" t="s">
        <v>7</v>
      </c>
    </row>
    <row r="115" spans="12:19" x14ac:dyDescent="0.25">
      <c r="L115" s="2" t="s">
        <v>109</v>
      </c>
      <c r="M115" s="1">
        <v>24</v>
      </c>
      <c r="N115" s="1" t="str">
        <f t="shared" si="2"/>
        <v>8º Ano C</v>
      </c>
      <c r="O115" s="2">
        <v>16</v>
      </c>
      <c r="P115" s="1">
        <f t="shared" si="3"/>
        <v>63</v>
      </c>
      <c r="Q115" s="1" t="s">
        <v>62</v>
      </c>
      <c r="R115" s="2" t="s">
        <v>24</v>
      </c>
      <c r="S115" t="s">
        <v>25</v>
      </c>
    </row>
    <row r="116" spans="12:19" x14ac:dyDescent="0.25">
      <c r="L116" s="2" t="s">
        <v>110</v>
      </c>
      <c r="M116" s="1">
        <v>25</v>
      </c>
      <c r="N116" s="1" t="str">
        <f t="shared" si="2"/>
        <v>8º Ano D</v>
      </c>
      <c r="O116" s="2">
        <v>7</v>
      </c>
      <c r="P116" s="1">
        <f t="shared" si="3"/>
        <v>54</v>
      </c>
      <c r="Q116" s="1" t="s">
        <v>30</v>
      </c>
      <c r="R116" s="2" t="s">
        <v>54</v>
      </c>
      <c r="S116" t="s">
        <v>55</v>
      </c>
    </row>
    <row r="117" spans="12:19" x14ac:dyDescent="0.25">
      <c r="L117" s="2" t="s">
        <v>110</v>
      </c>
      <c r="M117" s="1">
        <v>25</v>
      </c>
      <c r="N117" s="1" t="str">
        <f t="shared" si="2"/>
        <v>8º Ano D</v>
      </c>
      <c r="O117" s="2">
        <v>4</v>
      </c>
      <c r="P117" s="1">
        <f t="shared" si="3"/>
        <v>51</v>
      </c>
      <c r="Q117" s="1" t="s">
        <v>18</v>
      </c>
      <c r="R117" s="2" t="s">
        <v>92</v>
      </c>
      <c r="S117" t="s">
        <v>93</v>
      </c>
    </row>
    <row r="118" spans="12:19" x14ac:dyDescent="0.25">
      <c r="L118" s="2" t="s">
        <v>110</v>
      </c>
      <c r="M118" s="1">
        <v>25</v>
      </c>
      <c r="N118" s="1" t="str">
        <f t="shared" si="2"/>
        <v>8º Ano D</v>
      </c>
      <c r="O118" s="2">
        <v>8</v>
      </c>
      <c r="P118" s="1">
        <f t="shared" si="3"/>
        <v>55</v>
      </c>
      <c r="Q118" s="1" t="s">
        <v>34</v>
      </c>
      <c r="R118" s="2" t="s">
        <v>47</v>
      </c>
      <c r="S118" t="s">
        <v>48</v>
      </c>
    </row>
    <row r="119" spans="12:19" x14ac:dyDescent="0.25">
      <c r="L119" s="2" t="s">
        <v>110</v>
      </c>
      <c r="M119" s="1">
        <v>25</v>
      </c>
      <c r="N119" s="1" t="str">
        <f t="shared" si="2"/>
        <v>8º Ano D</v>
      </c>
      <c r="O119" s="2">
        <v>9</v>
      </c>
      <c r="P119" s="1">
        <f t="shared" si="3"/>
        <v>56</v>
      </c>
      <c r="Q119" s="1" t="s">
        <v>38</v>
      </c>
      <c r="R119" s="2" t="s">
        <v>100</v>
      </c>
      <c r="S119" t="s">
        <v>101</v>
      </c>
    </row>
    <row r="120" spans="12:19" x14ac:dyDescent="0.25">
      <c r="L120" s="2" t="s">
        <v>110</v>
      </c>
      <c r="M120" s="1">
        <v>25</v>
      </c>
      <c r="N120" s="1" t="str">
        <f t="shared" si="2"/>
        <v>8º Ano D</v>
      </c>
      <c r="O120" s="2">
        <v>10</v>
      </c>
      <c r="P120" s="1">
        <f t="shared" si="3"/>
        <v>57</v>
      </c>
      <c r="Q120" s="1" t="s">
        <v>41</v>
      </c>
      <c r="R120" s="2" t="s">
        <v>88</v>
      </c>
      <c r="S120" t="s">
        <v>89</v>
      </c>
    </row>
    <row r="121" spans="12:19" x14ac:dyDescent="0.25">
      <c r="L121" s="2" t="s">
        <v>110</v>
      </c>
      <c r="M121" s="1">
        <v>25</v>
      </c>
      <c r="N121" s="1" t="str">
        <f t="shared" si="2"/>
        <v>8º Ano D</v>
      </c>
      <c r="O121" s="2">
        <v>11</v>
      </c>
      <c r="P121" s="1">
        <f t="shared" si="3"/>
        <v>58</v>
      </c>
      <c r="Q121" s="1" t="s">
        <v>45</v>
      </c>
      <c r="R121" s="2" t="s">
        <v>43</v>
      </c>
      <c r="S121" t="s">
        <v>44</v>
      </c>
    </row>
    <row r="122" spans="12:19" x14ac:dyDescent="0.25">
      <c r="L122" s="2" t="s">
        <v>110</v>
      </c>
      <c r="M122" s="1">
        <v>25</v>
      </c>
      <c r="N122" s="1" t="str">
        <f t="shared" si="2"/>
        <v>8º Ano D</v>
      </c>
      <c r="O122" s="2">
        <v>12</v>
      </c>
      <c r="P122" s="1">
        <f t="shared" si="3"/>
        <v>59</v>
      </c>
      <c r="Q122" s="1" t="s">
        <v>49</v>
      </c>
      <c r="R122" s="2" t="s">
        <v>20</v>
      </c>
      <c r="S122" t="s">
        <v>21</v>
      </c>
    </row>
    <row r="123" spans="12:19" x14ac:dyDescent="0.25">
      <c r="L123" s="2" t="s">
        <v>110</v>
      </c>
      <c r="M123" s="1">
        <v>25</v>
      </c>
      <c r="N123" s="1" t="str">
        <f t="shared" si="2"/>
        <v>8º Ano D</v>
      </c>
      <c r="O123" s="2">
        <v>13</v>
      </c>
      <c r="P123" s="1">
        <f t="shared" si="3"/>
        <v>60</v>
      </c>
      <c r="Q123" s="1" t="s">
        <v>53</v>
      </c>
      <c r="R123" s="2" t="s">
        <v>32</v>
      </c>
      <c r="S123" t="s">
        <v>33</v>
      </c>
    </row>
    <row r="124" spans="12:19" x14ac:dyDescent="0.25">
      <c r="L124" s="2" t="s">
        <v>110</v>
      </c>
      <c r="M124" s="1">
        <v>25</v>
      </c>
      <c r="N124" s="1" t="str">
        <f t="shared" si="2"/>
        <v>8º Ano D</v>
      </c>
      <c r="O124" s="2">
        <v>14</v>
      </c>
      <c r="P124" s="1">
        <f t="shared" si="3"/>
        <v>61</v>
      </c>
      <c r="Q124" s="1" t="s">
        <v>56</v>
      </c>
      <c r="R124" s="2" t="s">
        <v>66</v>
      </c>
      <c r="S124" t="s">
        <v>67</v>
      </c>
    </row>
    <row r="125" spans="12:19" x14ac:dyDescent="0.25">
      <c r="L125" s="2" t="s">
        <v>110</v>
      </c>
      <c r="M125" s="1">
        <v>25</v>
      </c>
      <c r="N125" s="1" t="str">
        <f t="shared" si="2"/>
        <v>8º Ano D</v>
      </c>
      <c r="O125" s="2">
        <v>15</v>
      </c>
      <c r="P125" s="1">
        <f t="shared" si="3"/>
        <v>62</v>
      </c>
      <c r="Q125" s="1" t="s">
        <v>59</v>
      </c>
      <c r="R125" s="2" t="s">
        <v>69</v>
      </c>
      <c r="S125" t="s">
        <v>70</v>
      </c>
    </row>
    <row r="126" spans="12:19" x14ac:dyDescent="0.25">
      <c r="L126" s="2" t="s">
        <v>110</v>
      </c>
      <c r="M126" s="1">
        <v>25</v>
      </c>
      <c r="N126" s="1" t="str">
        <f t="shared" si="2"/>
        <v>8º Ano D</v>
      </c>
      <c r="O126" s="2">
        <v>6</v>
      </c>
      <c r="P126" s="1">
        <f t="shared" si="3"/>
        <v>53</v>
      </c>
      <c r="Q126" s="1" t="s">
        <v>26</v>
      </c>
      <c r="R126" s="2" t="s">
        <v>10</v>
      </c>
      <c r="S126" t="s">
        <v>11</v>
      </c>
    </row>
    <row r="127" spans="12:19" x14ac:dyDescent="0.25">
      <c r="L127" s="2" t="s">
        <v>110</v>
      </c>
      <c r="M127" s="1">
        <v>25</v>
      </c>
      <c r="N127" s="1" t="str">
        <f t="shared" si="2"/>
        <v>8º Ano D</v>
      </c>
      <c r="O127" s="2">
        <v>1</v>
      </c>
      <c r="P127" s="1">
        <f t="shared" si="3"/>
        <v>48</v>
      </c>
      <c r="Q127" s="1" t="s">
        <v>8</v>
      </c>
      <c r="R127" s="2" t="s">
        <v>47</v>
      </c>
      <c r="S127" t="s">
        <v>48</v>
      </c>
    </row>
    <row r="128" spans="12:19" x14ac:dyDescent="0.25">
      <c r="L128" s="2" t="s">
        <v>110</v>
      </c>
      <c r="M128" s="1">
        <v>25</v>
      </c>
      <c r="N128" s="1" t="str">
        <f t="shared" si="2"/>
        <v>8º Ano D</v>
      </c>
      <c r="O128" s="2">
        <v>2</v>
      </c>
      <c r="P128" s="1">
        <f t="shared" si="3"/>
        <v>49</v>
      </c>
      <c r="Q128" s="1" t="s">
        <v>12</v>
      </c>
      <c r="R128" s="2" t="s">
        <v>40</v>
      </c>
      <c r="S128" t="s">
        <v>7</v>
      </c>
    </row>
    <row r="129" spans="12:19" x14ac:dyDescent="0.25">
      <c r="L129" s="2" t="s">
        <v>110</v>
      </c>
      <c r="M129" s="1">
        <v>25</v>
      </c>
      <c r="N129" s="1" t="str">
        <f t="shared" si="2"/>
        <v>8º Ano D</v>
      </c>
      <c r="O129" s="2">
        <v>16</v>
      </c>
      <c r="P129" s="1">
        <f t="shared" si="3"/>
        <v>63</v>
      </c>
      <c r="Q129" s="1" t="s">
        <v>62</v>
      </c>
      <c r="R129" s="2" t="s">
        <v>24</v>
      </c>
      <c r="S129" t="s">
        <v>25</v>
      </c>
    </row>
    <row r="130" spans="12:19" x14ac:dyDescent="0.25">
      <c r="L130" s="2" t="s">
        <v>107</v>
      </c>
      <c r="M130" s="1">
        <v>16</v>
      </c>
      <c r="N130" s="1" t="str">
        <f t="shared" si="2"/>
        <v>9º ano A</v>
      </c>
      <c r="O130" s="2">
        <v>7</v>
      </c>
      <c r="P130" s="1">
        <f t="shared" si="3"/>
        <v>54</v>
      </c>
      <c r="Q130" s="1" t="s">
        <v>30</v>
      </c>
      <c r="R130" s="2" t="s">
        <v>54</v>
      </c>
      <c r="S130" t="s">
        <v>55</v>
      </c>
    </row>
    <row r="131" spans="12:19" x14ac:dyDescent="0.25">
      <c r="L131" s="2" t="s">
        <v>107</v>
      </c>
      <c r="M131" s="1">
        <v>16</v>
      </c>
      <c r="N131" s="1" t="str">
        <f t="shared" ref="N131:N194" si="4">VLOOKUP(L131,G:I,3,FALSE)</f>
        <v>9º ano A</v>
      </c>
      <c r="O131" s="2">
        <v>4</v>
      </c>
      <c r="P131" s="1">
        <f t="shared" ref="P131:P194" si="5">VLOOKUP(Q131,D:F,2,FALSE)</f>
        <v>51</v>
      </c>
      <c r="Q131" s="1" t="s">
        <v>18</v>
      </c>
      <c r="R131" s="2" t="s">
        <v>40</v>
      </c>
      <c r="S131" t="s">
        <v>7</v>
      </c>
    </row>
    <row r="132" spans="12:19" x14ac:dyDescent="0.25">
      <c r="L132" s="2" t="s">
        <v>107</v>
      </c>
      <c r="M132" s="1">
        <v>16</v>
      </c>
      <c r="N132" s="1" t="str">
        <f t="shared" si="4"/>
        <v>9º ano A</v>
      </c>
      <c r="O132" s="2">
        <v>8</v>
      </c>
      <c r="P132" s="1">
        <f t="shared" si="5"/>
        <v>55</v>
      </c>
      <c r="Q132" s="1" t="s">
        <v>34</v>
      </c>
      <c r="R132" s="2" t="s">
        <v>72</v>
      </c>
      <c r="S132" t="s">
        <v>73</v>
      </c>
    </row>
    <row r="133" spans="12:19" x14ac:dyDescent="0.25">
      <c r="L133" s="2" t="s">
        <v>107</v>
      </c>
      <c r="M133" s="1">
        <v>16</v>
      </c>
      <c r="N133" s="1" t="str">
        <f t="shared" si="4"/>
        <v>9º ano A</v>
      </c>
      <c r="O133" s="2">
        <v>10</v>
      </c>
      <c r="P133" s="1">
        <f t="shared" si="5"/>
        <v>57</v>
      </c>
      <c r="Q133" s="1" t="s">
        <v>41</v>
      </c>
      <c r="R133" s="2" t="s">
        <v>88</v>
      </c>
      <c r="S133" t="s">
        <v>89</v>
      </c>
    </row>
    <row r="134" spans="12:19" x14ac:dyDescent="0.25">
      <c r="L134" s="2" t="s">
        <v>107</v>
      </c>
      <c r="M134" s="1">
        <v>16</v>
      </c>
      <c r="N134" s="1" t="str">
        <f t="shared" si="4"/>
        <v>9º ano A</v>
      </c>
      <c r="O134" s="2">
        <v>11</v>
      </c>
      <c r="P134" s="1">
        <f t="shared" si="5"/>
        <v>58</v>
      </c>
      <c r="Q134" s="1" t="s">
        <v>45</v>
      </c>
      <c r="R134" s="2" t="s">
        <v>43</v>
      </c>
      <c r="S134" t="s">
        <v>44</v>
      </c>
    </row>
    <row r="135" spans="12:19" x14ac:dyDescent="0.25">
      <c r="L135" s="2" t="s">
        <v>107</v>
      </c>
      <c r="M135" s="1">
        <v>16</v>
      </c>
      <c r="N135" s="1" t="str">
        <f t="shared" si="4"/>
        <v>9º ano A</v>
      </c>
      <c r="O135" s="2">
        <v>12</v>
      </c>
      <c r="P135" s="1">
        <f t="shared" si="5"/>
        <v>59</v>
      </c>
      <c r="Q135" s="1" t="s">
        <v>49</v>
      </c>
      <c r="R135" s="2" t="s">
        <v>20</v>
      </c>
      <c r="S135" t="s">
        <v>21</v>
      </c>
    </row>
    <row r="136" spans="12:19" x14ac:dyDescent="0.25">
      <c r="L136" s="2" t="s">
        <v>107</v>
      </c>
      <c r="M136" s="1">
        <v>16</v>
      </c>
      <c r="N136" s="1" t="str">
        <f t="shared" si="4"/>
        <v>9º ano A</v>
      </c>
      <c r="O136" s="2">
        <v>13</v>
      </c>
      <c r="P136" s="1">
        <f t="shared" si="5"/>
        <v>60</v>
      </c>
      <c r="Q136" s="1" t="s">
        <v>53</v>
      </c>
      <c r="R136" s="2" t="s">
        <v>32</v>
      </c>
      <c r="S136" t="s">
        <v>33</v>
      </c>
    </row>
    <row r="137" spans="12:19" x14ac:dyDescent="0.25">
      <c r="L137" s="2" t="s">
        <v>107</v>
      </c>
      <c r="M137" s="1">
        <v>16</v>
      </c>
      <c r="N137" s="1" t="str">
        <f t="shared" si="4"/>
        <v>9º ano A</v>
      </c>
      <c r="O137" s="2">
        <v>14</v>
      </c>
      <c r="P137" s="1">
        <f t="shared" si="5"/>
        <v>61</v>
      </c>
      <c r="Q137" s="1" t="s">
        <v>56</v>
      </c>
      <c r="R137" s="2" t="s">
        <v>66</v>
      </c>
      <c r="S137" t="s">
        <v>67</v>
      </c>
    </row>
    <row r="138" spans="12:19" x14ac:dyDescent="0.25">
      <c r="L138" s="2" t="s">
        <v>107</v>
      </c>
      <c r="M138" s="1">
        <v>16</v>
      </c>
      <c r="N138" s="1" t="str">
        <f t="shared" si="4"/>
        <v>9º ano A</v>
      </c>
      <c r="O138" s="2">
        <v>15</v>
      </c>
      <c r="P138" s="1">
        <f t="shared" si="5"/>
        <v>62</v>
      </c>
      <c r="Q138" s="1" t="s">
        <v>59</v>
      </c>
      <c r="R138" s="2" t="s">
        <v>69</v>
      </c>
      <c r="S138" t="s">
        <v>70</v>
      </c>
    </row>
    <row r="139" spans="12:19" x14ac:dyDescent="0.25">
      <c r="L139" s="2" t="s">
        <v>107</v>
      </c>
      <c r="M139" s="1">
        <v>16</v>
      </c>
      <c r="N139" s="1" t="str">
        <f t="shared" si="4"/>
        <v>9º ano A</v>
      </c>
      <c r="O139" s="2">
        <v>1</v>
      </c>
      <c r="P139" s="1">
        <f t="shared" si="5"/>
        <v>48</v>
      </c>
      <c r="Q139" s="1" t="s">
        <v>8</v>
      </c>
      <c r="R139" s="2" t="s">
        <v>28</v>
      </c>
      <c r="S139" t="s">
        <v>29</v>
      </c>
    </row>
    <row r="140" spans="12:19" x14ac:dyDescent="0.25">
      <c r="L140" s="2" t="s">
        <v>107</v>
      </c>
      <c r="M140" s="1">
        <v>16</v>
      </c>
      <c r="N140" s="1" t="str">
        <f t="shared" si="4"/>
        <v>9º ano A</v>
      </c>
      <c r="O140" s="2">
        <v>16</v>
      </c>
      <c r="P140" s="1">
        <f t="shared" si="5"/>
        <v>63</v>
      </c>
      <c r="Q140" s="1" t="s">
        <v>62</v>
      </c>
      <c r="R140" s="2" t="s">
        <v>24</v>
      </c>
      <c r="S140" t="s">
        <v>25</v>
      </c>
    </row>
    <row r="141" spans="12:19" x14ac:dyDescent="0.25">
      <c r="L141" s="2" t="s">
        <v>104</v>
      </c>
      <c r="M141" s="1">
        <v>26</v>
      </c>
      <c r="N141" s="1" t="str">
        <f t="shared" si="4"/>
        <v>9º Ano B</v>
      </c>
      <c r="O141" s="2">
        <v>7</v>
      </c>
      <c r="P141" s="1">
        <f t="shared" si="5"/>
        <v>54</v>
      </c>
      <c r="Q141" s="1" t="s">
        <v>30</v>
      </c>
      <c r="R141" s="2" t="s">
        <v>54</v>
      </c>
      <c r="S141" t="s">
        <v>55</v>
      </c>
    </row>
    <row r="142" spans="12:19" x14ac:dyDescent="0.25">
      <c r="L142" s="2" t="s">
        <v>104</v>
      </c>
      <c r="M142" s="1">
        <v>26</v>
      </c>
      <c r="N142" s="1" t="str">
        <f t="shared" si="4"/>
        <v>9º Ano B</v>
      </c>
      <c r="O142" s="2">
        <v>4</v>
      </c>
      <c r="P142" s="1">
        <f t="shared" si="5"/>
        <v>51</v>
      </c>
      <c r="Q142" s="1" t="s">
        <v>18</v>
      </c>
      <c r="R142" s="2" t="s">
        <v>98</v>
      </c>
      <c r="S142" t="s">
        <v>99</v>
      </c>
    </row>
    <row r="143" spans="12:19" x14ac:dyDescent="0.25">
      <c r="L143" s="2" t="s">
        <v>104</v>
      </c>
      <c r="M143" s="1">
        <v>26</v>
      </c>
      <c r="N143" s="1" t="str">
        <f t="shared" si="4"/>
        <v>9º Ano B</v>
      </c>
      <c r="O143" s="2">
        <v>8</v>
      </c>
      <c r="P143" s="1">
        <f t="shared" si="5"/>
        <v>55</v>
      </c>
      <c r="Q143" s="1" t="s">
        <v>34</v>
      </c>
      <c r="R143" s="2" t="s">
        <v>72</v>
      </c>
      <c r="S143" t="s">
        <v>73</v>
      </c>
    </row>
    <row r="144" spans="12:19" x14ac:dyDescent="0.25">
      <c r="L144" s="2" t="s">
        <v>104</v>
      </c>
      <c r="M144" s="1">
        <v>26</v>
      </c>
      <c r="N144" s="1" t="str">
        <f t="shared" si="4"/>
        <v>9º Ano B</v>
      </c>
      <c r="O144" s="2">
        <v>10</v>
      </c>
      <c r="P144" s="1">
        <f t="shared" si="5"/>
        <v>57</v>
      </c>
      <c r="Q144" s="1" t="s">
        <v>41</v>
      </c>
      <c r="R144" s="2" t="s">
        <v>88</v>
      </c>
      <c r="S144" t="s">
        <v>89</v>
      </c>
    </row>
    <row r="145" spans="12:19" x14ac:dyDescent="0.25">
      <c r="L145" s="2" t="s">
        <v>104</v>
      </c>
      <c r="M145" s="1">
        <v>26</v>
      </c>
      <c r="N145" s="1" t="str">
        <f t="shared" si="4"/>
        <v>9º Ano B</v>
      </c>
      <c r="O145" s="2">
        <v>11</v>
      </c>
      <c r="P145" s="1">
        <f t="shared" si="5"/>
        <v>58</v>
      </c>
      <c r="Q145" s="1" t="s">
        <v>45</v>
      </c>
      <c r="R145" s="2" t="s">
        <v>43</v>
      </c>
      <c r="S145" t="s">
        <v>44</v>
      </c>
    </row>
    <row r="146" spans="12:19" x14ac:dyDescent="0.25">
      <c r="L146" s="2" t="s">
        <v>104</v>
      </c>
      <c r="M146" s="1">
        <v>26</v>
      </c>
      <c r="N146" s="1" t="str">
        <f t="shared" si="4"/>
        <v>9º Ano B</v>
      </c>
      <c r="O146" s="2">
        <v>12</v>
      </c>
      <c r="P146" s="1">
        <f t="shared" si="5"/>
        <v>59</v>
      </c>
      <c r="Q146" s="1" t="s">
        <v>49</v>
      </c>
      <c r="R146" s="2" t="s">
        <v>20</v>
      </c>
      <c r="S146" t="s">
        <v>21</v>
      </c>
    </row>
    <row r="147" spans="12:19" x14ac:dyDescent="0.25">
      <c r="L147" s="2" t="s">
        <v>104</v>
      </c>
      <c r="M147" s="1">
        <v>26</v>
      </c>
      <c r="N147" s="1" t="str">
        <f t="shared" si="4"/>
        <v>9º Ano B</v>
      </c>
      <c r="O147" s="2">
        <v>13</v>
      </c>
      <c r="P147" s="1">
        <f t="shared" si="5"/>
        <v>60</v>
      </c>
      <c r="Q147" s="1" t="s">
        <v>53</v>
      </c>
      <c r="R147" s="2" t="s">
        <v>32</v>
      </c>
      <c r="S147" t="s">
        <v>33</v>
      </c>
    </row>
    <row r="148" spans="12:19" x14ac:dyDescent="0.25">
      <c r="L148" s="2" t="s">
        <v>104</v>
      </c>
      <c r="M148" s="1">
        <v>26</v>
      </c>
      <c r="N148" s="1" t="str">
        <f t="shared" si="4"/>
        <v>9º Ano B</v>
      </c>
      <c r="O148" s="2">
        <v>14</v>
      </c>
      <c r="P148" s="1">
        <f t="shared" si="5"/>
        <v>61</v>
      </c>
      <c r="Q148" s="1" t="s">
        <v>56</v>
      </c>
      <c r="R148" s="2" t="s">
        <v>66</v>
      </c>
      <c r="S148" t="s">
        <v>67</v>
      </c>
    </row>
    <row r="149" spans="12:19" x14ac:dyDescent="0.25">
      <c r="L149" s="2" t="s">
        <v>104</v>
      </c>
      <c r="M149" s="1">
        <v>26</v>
      </c>
      <c r="N149" s="1" t="str">
        <f t="shared" si="4"/>
        <v>9º Ano B</v>
      </c>
      <c r="O149" s="2">
        <v>15</v>
      </c>
      <c r="P149" s="1">
        <f t="shared" si="5"/>
        <v>62</v>
      </c>
      <c r="Q149" s="1" t="s">
        <v>59</v>
      </c>
      <c r="R149" s="2" t="s">
        <v>69</v>
      </c>
      <c r="S149" t="s">
        <v>70</v>
      </c>
    </row>
    <row r="150" spans="12:19" x14ac:dyDescent="0.25">
      <c r="L150" s="2" t="s">
        <v>104</v>
      </c>
      <c r="M150" s="1">
        <v>26</v>
      </c>
      <c r="N150" s="1" t="str">
        <f t="shared" si="4"/>
        <v>9º Ano B</v>
      </c>
      <c r="O150" s="2">
        <v>1</v>
      </c>
      <c r="P150" s="1">
        <f t="shared" si="5"/>
        <v>48</v>
      </c>
      <c r="Q150" s="1" t="s">
        <v>8</v>
      </c>
      <c r="R150" s="2" t="s">
        <v>84</v>
      </c>
      <c r="S150" t="s">
        <v>85</v>
      </c>
    </row>
    <row r="151" spans="12:19" x14ac:dyDescent="0.25">
      <c r="L151" s="2" t="s">
        <v>104</v>
      </c>
      <c r="M151" s="1">
        <v>26</v>
      </c>
      <c r="N151" s="1" t="str">
        <f t="shared" si="4"/>
        <v>9º Ano B</v>
      </c>
      <c r="O151" s="2">
        <v>16</v>
      </c>
      <c r="P151" s="1">
        <f t="shared" si="5"/>
        <v>63</v>
      </c>
      <c r="Q151" s="1" t="s">
        <v>62</v>
      </c>
      <c r="R151" s="2" t="s">
        <v>24</v>
      </c>
      <c r="S151" t="s">
        <v>25</v>
      </c>
    </row>
    <row r="152" spans="12:19" x14ac:dyDescent="0.25">
      <c r="L152" s="2" t="s">
        <v>106</v>
      </c>
      <c r="M152" s="1">
        <v>27</v>
      </c>
      <c r="N152" s="1" t="str">
        <f t="shared" si="4"/>
        <v>9º Ano C</v>
      </c>
      <c r="O152" s="2">
        <v>7</v>
      </c>
      <c r="P152" s="1">
        <f t="shared" si="5"/>
        <v>54</v>
      </c>
      <c r="Q152" s="1" t="s">
        <v>30</v>
      </c>
      <c r="R152" s="2" t="s">
        <v>54</v>
      </c>
      <c r="S152" t="s">
        <v>55</v>
      </c>
    </row>
    <row r="153" spans="12:19" x14ac:dyDescent="0.25">
      <c r="L153" s="2" t="s">
        <v>106</v>
      </c>
      <c r="M153" s="1">
        <v>27</v>
      </c>
      <c r="N153" s="1" t="str">
        <f t="shared" si="4"/>
        <v>9º Ano C</v>
      </c>
      <c r="O153" s="2">
        <v>4</v>
      </c>
      <c r="P153" s="1">
        <f t="shared" si="5"/>
        <v>51</v>
      </c>
      <c r="Q153" s="1" t="s">
        <v>18</v>
      </c>
      <c r="R153" s="2" t="s">
        <v>57</v>
      </c>
      <c r="S153" t="s">
        <v>58</v>
      </c>
    </row>
    <row r="154" spans="12:19" x14ac:dyDescent="0.25">
      <c r="L154" s="2" t="s">
        <v>106</v>
      </c>
      <c r="M154" s="1">
        <v>27</v>
      </c>
      <c r="N154" s="1" t="str">
        <f t="shared" si="4"/>
        <v>9º Ano C</v>
      </c>
      <c r="O154" s="2">
        <v>8</v>
      </c>
      <c r="P154" s="1">
        <f t="shared" si="5"/>
        <v>55</v>
      </c>
      <c r="Q154" s="1" t="s">
        <v>34</v>
      </c>
      <c r="R154" s="2" t="s">
        <v>72</v>
      </c>
      <c r="S154" t="s">
        <v>73</v>
      </c>
    </row>
    <row r="155" spans="12:19" x14ac:dyDescent="0.25">
      <c r="L155" s="2" t="s">
        <v>106</v>
      </c>
      <c r="M155" s="1">
        <v>27</v>
      </c>
      <c r="N155" s="1" t="str">
        <f t="shared" si="4"/>
        <v>9º Ano C</v>
      </c>
      <c r="O155" s="2">
        <v>10</v>
      </c>
      <c r="P155" s="1">
        <f t="shared" si="5"/>
        <v>57</v>
      </c>
      <c r="Q155" s="1" t="s">
        <v>41</v>
      </c>
      <c r="R155" s="2" t="s">
        <v>88</v>
      </c>
      <c r="S155" t="s">
        <v>89</v>
      </c>
    </row>
    <row r="156" spans="12:19" x14ac:dyDescent="0.25">
      <c r="L156" s="2" t="s">
        <v>106</v>
      </c>
      <c r="M156" s="1">
        <v>27</v>
      </c>
      <c r="N156" s="1" t="str">
        <f t="shared" si="4"/>
        <v>9º Ano C</v>
      </c>
      <c r="O156" s="2">
        <v>11</v>
      </c>
      <c r="P156" s="1">
        <f t="shared" si="5"/>
        <v>58</v>
      </c>
      <c r="Q156" s="1" t="s">
        <v>45</v>
      </c>
      <c r="R156" s="2" t="s">
        <v>43</v>
      </c>
      <c r="S156" t="s">
        <v>44</v>
      </c>
    </row>
    <row r="157" spans="12:19" x14ac:dyDescent="0.25">
      <c r="L157" s="2" t="s">
        <v>106</v>
      </c>
      <c r="M157" s="1">
        <v>27</v>
      </c>
      <c r="N157" s="1" t="str">
        <f t="shared" si="4"/>
        <v>9º Ano C</v>
      </c>
      <c r="O157" s="2">
        <v>12</v>
      </c>
      <c r="P157" s="1">
        <f t="shared" si="5"/>
        <v>59</v>
      </c>
      <c r="Q157" s="1" t="s">
        <v>49</v>
      </c>
      <c r="R157" s="2" t="s">
        <v>20</v>
      </c>
      <c r="S157" t="s">
        <v>21</v>
      </c>
    </row>
    <row r="158" spans="12:19" x14ac:dyDescent="0.25">
      <c r="L158" s="2" t="s">
        <v>106</v>
      </c>
      <c r="M158" s="1">
        <v>27</v>
      </c>
      <c r="N158" s="1" t="str">
        <f t="shared" si="4"/>
        <v>9º Ano C</v>
      </c>
      <c r="O158" s="2">
        <v>13</v>
      </c>
      <c r="P158" s="1">
        <f t="shared" si="5"/>
        <v>60</v>
      </c>
      <c r="Q158" s="1" t="s">
        <v>53</v>
      </c>
      <c r="R158" s="2" t="s">
        <v>32</v>
      </c>
      <c r="S158" t="s">
        <v>33</v>
      </c>
    </row>
    <row r="159" spans="12:19" x14ac:dyDescent="0.25">
      <c r="L159" s="2" t="s">
        <v>106</v>
      </c>
      <c r="M159" s="1">
        <v>27</v>
      </c>
      <c r="N159" s="1" t="str">
        <f t="shared" si="4"/>
        <v>9º Ano C</v>
      </c>
      <c r="O159" s="2">
        <v>14</v>
      </c>
      <c r="P159" s="1">
        <f t="shared" si="5"/>
        <v>61</v>
      </c>
      <c r="Q159" s="1" t="s">
        <v>56</v>
      </c>
      <c r="R159" s="2" t="s">
        <v>66</v>
      </c>
      <c r="S159" t="s">
        <v>67</v>
      </c>
    </row>
    <row r="160" spans="12:19" x14ac:dyDescent="0.25">
      <c r="L160" s="2" t="s">
        <v>106</v>
      </c>
      <c r="M160" s="1">
        <v>27</v>
      </c>
      <c r="N160" s="1" t="str">
        <f t="shared" si="4"/>
        <v>9º Ano C</v>
      </c>
      <c r="O160" s="2">
        <v>15</v>
      </c>
      <c r="P160" s="1">
        <f t="shared" si="5"/>
        <v>62</v>
      </c>
      <c r="Q160" s="1" t="s">
        <v>59</v>
      </c>
      <c r="R160" s="2" t="s">
        <v>69</v>
      </c>
      <c r="S160" t="s">
        <v>70</v>
      </c>
    </row>
    <row r="161" spans="12:19" x14ac:dyDescent="0.25">
      <c r="L161" s="2" t="s">
        <v>106</v>
      </c>
      <c r="M161" s="1">
        <v>27</v>
      </c>
      <c r="N161" s="1" t="str">
        <f t="shared" si="4"/>
        <v>9º Ano C</v>
      </c>
      <c r="O161" s="2">
        <v>1</v>
      </c>
      <c r="P161" s="1">
        <f t="shared" si="5"/>
        <v>48</v>
      </c>
      <c r="Q161" s="1" t="s">
        <v>8</v>
      </c>
      <c r="R161" s="2" t="s">
        <v>28</v>
      </c>
      <c r="S161" t="s">
        <v>29</v>
      </c>
    </row>
    <row r="162" spans="12:19" x14ac:dyDescent="0.25">
      <c r="L162" s="2" t="s">
        <v>106</v>
      </c>
      <c r="M162" s="1">
        <v>27</v>
      </c>
      <c r="N162" s="1" t="str">
        <f t="shared" si="4"/>
        <v>9º Ano C</v>
      </c>
      <c r="O162" s="2">
        <v>16</v>
      </c>
      <c r="P162" s="1">
        <f t="shared" si="5"/>
        <v>63</v>
      </c>
      <c r="Q162" s="1" t="s">
        <v>62</v>
      </c>
      <c r="R162" s="2" t="s">
        <v>24</v>
      </c>
      <c r="S162" t="s">
        <v>25</v>
      </c>
    </row>
    <row r="163" spans="12:19" x14ac:dyDescent="0.25">
      <c r="L163" s="2" t="s">
        <v>106</v>
      </c>
      <c r="M163" s="1">
        <v>27</v>
      </c>
      <c r="N163" s="1" t="str">
        <f t="shared" si="4"/>
        <v>9º Ano C</v>
      </c>
      <c r="O163" s="2">
        <v>17</v>
      </c>
      <c r="P163" s="1">
        <f t="shared" si="5"/>
        <v>64</v>
      </c>
      <c r="Q163" s="1" t="s">
        <v>65</v>
      </c>
      <c r="R163" s="2" t="s">
        <v>100</v>
      </c>
      <c r="S163" t="s">
        <v>101</v>
      </c>
    </row>
    <row r="164" spans="12:19" x14ac:dyDescent="0.25">
      <c r="L164" s="2" t="s">
        <v>108</v>
      </c>
      <c r="M164" s="1">
        <v>28</v>
      </c>
      <c r="N164" s="1" t="str">
        <f t="shared" si="4"/>
        <v>9º Ano D</v>
      </c>
      <c r="O164" s="2">
        <v>7</v>
      </c>
      <c r="P164" s="1">
        <f t="shared" si="5"/>
        <v>54</v>
      </c>
      <c r="Q164" s="1" t="s">
        <v>30</v>
      </c>
      <c r="R164" s="2" t="s">
        <v>54</v>
      </c>
      <c r="S164" t="s">
        <v>55</v>
      </c>
    </row>
    <row r="165" spans="12:19" x14ac:dyDescent="0.25">
      <c r="L165" s="2" t="s">
        <v>108</v>
      </c>
      <c r="M165" s="1">
        <v>28</v>
      </c>
      <c r="N165" s="1" t="str">
        <f t="shared" si="4"/>
        <v>9º Ano D</v>
      </c>
      <c r="O165" s="2">
        <v>4</v>
      </c>
      <c r="P165" s="1">
        <f t="shared" si="5"/>
        <v>51</v>
      </c>
      <c r="Q165" s="1" t="s">
        <v>18</v>
      </c>
      <c r="R165" s="2" t="s">
        <v>57</v>
      </c>
      <c r="S165" t="s">
        <v>58</v>
      </c>
    </row>
    <row r="166" spans="12:19" x14ac:dyDescent="0.25">
      <c r="L166" s="2" t="s">
        <v>108</v>
      </c>
      <c r="M166" s="1">
        <v>28</v>
      </c>
      <c r="N166" s="1" t="str">
        <f t="shared" si="4"/>
        <v>9º Ano D</v>
      </c>
      <c r="O166" s="2">
        <v>8</v>
      </c>
      <c r="P166" s="1">
        <f t="shared" si="5"/>
        <v>55</v>
      </c>
      <c r="Q166" s="1" t="s">
        <v>34</v>
      </c>
      <c r="R166" s="2" t="s">
        <v>72</v>
      </c>
      <c r="S166" t="s">
        <v>73</v>
      </c>
    </row>
    <row r="167" spans="12:19" x14ac:dyDescent="0.25">
      <c r="L167" s="2" t="s">
        <v>108</v>
      </c>
      <c r="M167" s="1">
        <v>28</v>
      </c>
      <c r="N167" s="1" t="str">
        <f t="shared" si="4"/>
        <v>9º Ano D</v>
      </c>
      <c r="O167" s="2">
        <v>10</v>
      </c>
      <c r="P167" s="1">
        <f t="shared" si="5"/>
        <v>57</v>
      </c>
      <c r="Q167" s="1" t="s">
        <v>41</v>
      </c>
      <c r="R167" s="2" t="s">
        <v>88</v>
      </c>
      <c r="S167" t="s">
        <v>89</v>
      </c>
    </row>
    <row r="168" spans="12:19" x14ac:dyDescent="0.25">
      <c r="L168" s="2" t="s">
        <v>108</v>
      </c>
      <c r="M168" s="1">
        <v>28</v>
      </c>
      <c r="N168" s="1" t="str">
        <f t="shared" si="4"/>
        <v>9º Ano D</v>
      </c>
      <c r="O168" s="2">
        <v>11</v>
      </c>
      <c r="P168" s="1">
        <f t="shared" si="5"/>
        <v>58</v>
      </c>
      <c r="Q168" s="1" t="s">
        <v>45</v>
      </c>
      <c r="R168" s="2" t="s">
        <v>43</v>
      </c>
      <c r="S168" t="s">
        <v>44</v>
      </c>
    </row>
    <row r="169" spans="12:19" x14ac:dyDescent="0.25">
      <c r="L169" s="2" t="s">
        <v>108</v>
      </c>
      <c r="M169" s="1">
        <v>28</v>
      </c>
      <c r="N169" s="1" t="str">
        <f t="shared" si="4"/>
        <v>9º Ano D</v>
      </c>
      <c r="O169" s="2">
        <v>12</v>
      </c>
      <c r="P169" s="1">
        <f t="shared" si="5"/>
        <v>59</v>
      </c>
      <c r="Q169" s="1" t="s">
        <v>49</v>
      </c>
      <c r="R169" s="2" t="s">
        <v>20</v>
      </c>
      <c r="S169" t="s">
        <v>21</v>
      </c>
    </row>
    <row r="170" spans="12:19" x14ac:dyDescent="0.25">
      <c r="L170" s="2" t="s">
        <v>108</v>
      </c>
      <c r="M170" s="1">
        <v>28</v>
      </c>
      <c r="N170" s="1" t="str">
        <f t="shared" si="4"/>
        <v>9º Ano D</v>
      </c>
      <c r="O170" s="2">
        <v>13</v>
      </c>
      <c r="P170" s="1">
        <f t="shared" si="5"/>
        <v>60</v>
      </c>
      <c r="Q170" s="1" t="s">
        <v>53</v>
      </c>
      <c r="R170" s="2" t="s">
        <v>32</v>
      </c>
      <c r="S170" t="s">
        <v>33</v>
      </c>
    </row>
    <row r="171" spans="12:19" x14ac:dyDescent="0.25">
      <c r="L171" s="2" t="s">
        <v>108</v>
      </c>
      <c r="M171" s="1">
        <v>28</v>
      </c>
      <c r="N171" s="1" t="str">
        <f t="shared" si="4"/>
        <v>9º Ano D</v>
      </c>
      <c r="O171" s="2">
        <v>14</v>
      </c>
      <c r="P171" s="1">
        <f t="shared" si="5"/>
        <v>61</v>
      </c>
      <c r="Q171" s="1" t="s">
        <v>56</v>
      </c>
      <c r="R171" s="2" t="s">
        <v>66</v>
      </c>
      <c r="S171" t="s">
        <v>67</v>
      </c>
    </row>
    <row r="172" spans="12:19" x14ac:dyDescent="0.25">
      <c r="L172" s="2" t="s">
        <v>108</v>
      </c>
      <c r="M172" s="1">
        <v>28</v>
      </c>
      <c r="N172" s="1" t="str">
        <f t="shared" si="4"/>
        <v>9º Ano D</v>
      </c>
      <c r="O172" s="2">
        <v>15</v>
      </c>
      <c r="P172" s="1">
        <f t="shared" si="5"/>
        <v>62</v>
      </c>
      <c r="Q172" s="1" t="s">
        <v>59</v>
      </c>
      <c r="R172" s="2" t="s">
        <v>69</v>
      </c>
      <c r="S172" t="s">
        <v>70</v>
      </c>
    </row>
    <row r="173" spans="12:19" x14ac:dyDescent="0.25">
      <c r="L173" s="2" t="s">
        <v>108</v>
      </c>
      <c r="M173" s="1">
        <v>28</v>
      </c>
      <c r="N173" s="1" t="str">
        <f t="shared" si="4"/>
        <v>9º Ano D</v>
      </c>
      <c r="O173" s="2">
        <v>1</v>
      </c>
      <c r="P173" s="1">
        <f t="shared" si="5"/>
        <v>48</v>
      </c>
      <c r="Q173" s="1" t="s">
        <v>8</v>
      </c>
      <c r="R173" s="2" t="s">
        <v>84</v>
      </c>
      <c r="S173" t="s">
        <v>85</v>
      </c>
    </row>
    <row r="174" spans="12:19" x14ac:dyDescent="0.25">
      <c r="L174" s="2" t="s">
        <v>108</v>
      </c>
      <c r="M174" s="1">
        <v>28</v>
      </c>
      <c r="N174" s="1" t="str">
        <f t="shared" si="4"/>
        <v>9º Ano D</v>
      </c>
      <c r="O174" s="2">
        <v>2</v>
      </c>
      <c r="P174" s="1">
        <f t="shared" si="5"/>
        <v>49</v>
      </c>
      <c r="Q174" s="1" t="s">
        <v>12</v>
      </c>
      <c r="R174" s="2" t="s">
        <v>98</v>
      </c>
      <c r="S174" t="s">
        <v>99</v>
      </c>
    </row>
    <row r="175" spans="12:19" x14ac:dyDescent="0.25">
      <c r="L175" s="2" t="s">
        <v>108</v>
      </c>
      <c r="M175" s="1">
        <v>28</v>
      </c>
      <c r="N175" s="1" t="str">
        <f t="shared" si="4"/>
        <v>9º Ano D</v>
      </c>
      <c r="O175" s="2">
        <v>16</v>
      </c>
      <c r="P175" s="1">
        <f t="shared" si="5"/>
        <v>63</v>
      </c>
      <c r="Q175" s="1" t="s">
        <v>62</v>
      </c>
      <c r="R175" s="2" t="s">
        <v>24</v>
      </c>
      <c r="S175" t="s">
        <v>25</v>
      </c>
    </row>
    <row r="176" spans="12:19" x14ac:dyDescent="0.25">
      <c r="L176" s="2" t="s">
        <v>108</v>
      </c>
      <c r="M176" s="1">
        <v>28</v>
      </c>
      <c r="N176" s="1" t="str">
        <f t="shared" si="4"/>
        <v>9º Ano D</v>
      </c>
      <c r="O176" s="2">
        <v>17</v>
      </c>
      <c r="P176" s="1">
        <f t="shared" si="5"/>
        <v>64</v>
      </c>
      <c r="Q176" s="1" t="s">
        <v>65</v>
      </c>
      <c r="R176" s="2" t="s">
        <v>100</v>
      </c>
      <c r="S176" t="s">
        <v>101</v>
      </c>
    </row>
    <row r="177" spans="12:19" x14ac:dyDescent="0.25">
      <c r="L177" s="2" t="s">
        <v>111</v>
      </c>
      <c r="M177" s="1">
        <v>18</v>
      </c>
      <c r="N177" s="1" t="str">
        <f t="shared" si="4"/>
        <v>7º Ano A</v>
      </c>
      <c r="O177" s="2">
        <v>3</v>
      </c>
      <c r="P177" s="1">
        <f t="shared" si="5"/>
        <v>50</v>
      </c>
      <c r="Q177" s="1" t="s">
        <v>14</v>
      </c>
      <c r="R177" s="2" t="s">
        <v>63</v>
      </c>
      <c r="S177" t="s">
        <v>64</v>
      </c>
    </row>
    <row r="178" spans="12:19" x14ac:dyDescent="0.25">
      <c r="L178" s="2" t="s">
        <v>112</v>
      </c>
      <c r="M178" s="1">
        <v>19</v>
      </c>
      <c r="N178" s="1" t="str">
        <f t="shared" si="4"/>
        <v>7º Ano B</v>
      </c>
      <c r="O178" s="2">
        <v>3</v>
      </c>
      <c r="P178" s="1">
        <f t="shared" si="5"/>
        <v>50</v>
      </c>
      <c r="Q178" s="1" t="s">
        <v>14</v>
      </c>
      <c r="R178" s="2" t="s">
        <v>63</v>
      </c>
      <c r="S178" t="s">
        <v>64</v>
      </c>
    </row>
    <row r="179" spans="12:19" x14ac:dyDescent="0.25">
      <c r="L179" s="2" t="s">
        <v>113</v>
      </c>
      <c r="M179" s="1">
        <v>20</v>
      </c>
      <c r="N179" s="1" t="str">
        <f t="shared" si="4"/>
        <v>7º Ano C</v>
      </c>
      <c r="O179" s="2">
        <v>3</v>
      </c>
      <c r="P179" s="1">
        <f t="shared" si="5"/>
        <v>50</v>
      </c>
      <c r="Q179" s="1" t="s">
        <v>14</v>
      </c>
      <c r="R179" s="2" t="s">
        <v>63</v>
      </c>
      <c r="S179" t="s">
        <v>64</v>
      </c>
    </row>
    <row r="180" spans="12:19" x14ac:dyDescent="0.25">
      <c r="L180" s="2" t="s">
        <v>114</v>
      </c>
      <c r="M180" s="1">
        <v>21</v>
      </c>
      <c r="N180" s="1" t="str">
        <f t="shared" si="4"/>
        <v>7º Ano D</v>
      </c>
      <c r="O180" s="2">
        <v>3</v>
      </c>
      <c r="P180" s="1">
        <f t="shared" si="5"/>
        <v>50</v>
      </c>
      <c r="Q180" s="1" t="s">
        <v>14</v>
      </c>
      <c r="R180" s="2" t="s">
        <v>63</v>
      </c>
      <c r="S180" t="s">
        <v>64</v>
      </c>
    </row>
    <row r="181" spans="12:19" x14ac:dyDescent="0.25">
      <c r="L181" s="2" t="s">
        <v>115</v>
      </c>
      <c r="M181" s="1">
        <v>22</v>
      </c>
      <c r="N181" s="1" t="str">
        <f t="shared" si="4"/>
        <v>8º Ano A</v>
      </c>
      <c r="O181" s="2">
        <v>3</v>
      </c>
      <c r="P181" s="1">
        <f t="shared" si="5"/>
        <v>50</v>
      </c>
      <c r="Q181" s="1" t="s">
        <v>14</v>
      </c>
      <c r="R181" s="2" t="s">
        <v>63</v>
      </c>
      <c r="S181" t="s">
        <v>64</v>
      </c>
    </row>
    <row r="182" spans="12:19" x14ac:dyDescent="0.25">
      <c r="L182" s="2" t="s">
        <v>116</v>
      </c>
      <c r="M182" s="1">
        <v>23</v>
      </c>
      <c r="N182" s="1" t="str">
        <f t="shared" si="4"/>
        <v>8º Ano B</v>
      </c>
      <c r="O182" s="2">
        <v>3</v>
      </c>
      <c r="P182" s="1">
        <f t="shared" si="5"/>
        <v>50</v>
      </c>
      <c r="Q182" s="1" t="s">
        <v>14</v>
      </c>
      <c r="R182" s="2" t="s">
        <v>63</v>
      </c>
      <c r="S182" t="s">
        <v>64</v>
      </c>
    </row>
    <row r="183" spans="12:19" x14ac:dyDescent="0.25">
      <c r="L183" s="2" t="s">
        <v>111</v>
      </c>
      <c r="M183" s="1">
        <v>18</v>
      </c>
      <c r="N183" s="1" t="str">
        <f t="shared" si="4"/>
        <v>7º Ano A</v>
      </c>
      <c r="O183" s="2">
        <v>5</v>
      </c>
      <c r="P183" s="1">
        <f t="shared" si="5"/>
        <v>52</v>
      </c>
      <c r="Q183" s="1" t="s">
        <v>22</v>
      </c>
      <c r="R183" s="2" t="s">
        <v>105</v>
      </c>
      <c r="S183" t="e">
        <v>#N/A</v>
      </c>
    </row>
    <row r="184" spans="12:19" x14ac:dyDescent="0.25">
      <c r="L184" s="2" t="s">
        <v>112</v>
      </c>
      <c r="M184" s="1">
        <v>19</v>
      </c>
      <c r="N184" s="1" t="str">
        <f t="shared" si="4"/>
        <v>7º Ano B</v>
      </c>
      <c r="O184" s="2">
        <v>5</v>
      </c>
      <c r="P184" s="1">
        <f t="shared" si="5"/>
        <v>52</v>
      </c>
      <c r="Q184" s="1" t="s">
        <v>22</v>
      </c>
      <c r="R184" s="2" t="s">
        <v>105</v>
      </c>
      <c r="S184" t="e">
        <v>#N/A</v>
      </c>
    </row>
    <row r="185" spans="12:19" x14ac:dyDescent="0.25">
      <c r="L185" s="2" t="s">
        <v>113</v>
      </c>
      <c r="M185" s="1">
        <v>20</v>
      </c>
      <c r="N185" s="1" t="str">
        <f t="shared" si="4"/>
        <v>7º Ano C</v>
      </c>
      <c r="O185" s="2">
        <v>5</v>
      </c>
      <c r="P185" s="1">
        <f t="shared" si="5"/>
        <v>52</v>
      </c>
      <c r="Q185" s="1" t="s">
        <v>22</v>
      </c>
      <c r="R185" s="2" t="s">
        <v>105</v>
      </c>
      <c r="S185" t="e">
        <v>#N/A</v>
      </c>
    </row>
    <row r="186" spans="12:19" x14ac:dyDescent="0.25">
      <c r="L186" s="2" t="s">
        <v>114</v>
      </c>
      <c r="M186" s="1">
        <v>21</v>
      </c>
      <c r="N186" s="1" t="str">
        <f t="shared" si="4"/>
        <v>7º Ano D</v>
      </c>
      <c r="O186" s="2">
        <v>5</v>
      </c>
      <c r="P186" s="1">
        <f t="shared" si="5"/>
        <v>52</v>
      </c>
      <c r="Q186" s="1" t="s">
        <v>22</v>
      </c>
      <c r="R186" s="2" t="s">
        <v>105</v>
      </c>
      <c r="S186" t="e">
        <v>#N/A</v>
      </c>
    </row>
    <row r="187" spans="12:19" x14ac:dyDescent="0.25">
      <c r="L187" s="2" t="s">
        <v>115</v>
      </c>
      <c r="M187" s="1">
        <v>22</v>
      </c>
      <c r="N187" s="1" t="str">
        <f t="shared" si="4"/>
        <v>8º Ano A</v>
      </c>
      <c r="O187" s="2">
        <v>5</v>
      </c>
      <c r="P187" s="1">
        <f t="shared" si="5"/>
        <v>52</v>
      </c>
      <c r="Q187" s="1" t="s">
        <v>22</v>
      </c>
      <c r="R187" s="2" t="s">
        <v>105</v>
      </c>
      <c r="S187" t="e">
        <v>#N/A</v>
      </c>
    </row>
    <row r="188" spans="12:19" x14ac:dyDescent="0.25">
      <c r="L188" s="2" t="s">
        <v>116</v>
      </c>
      <c r="M188" s="1">
        <v>23</v>
      </c>
      <c r="N188" s="1" t="str">
        <f t="shared" si="4"/>
        <v>8º Ano B</v>
      </c>
      <c r="O188" s="2">
        <v>5</v>
      </c>
      <c r="P188" s="1">
        <f t="shared" si="5"/>
        <v>52</v>
      </c>
      <c r="Q188" s="1" t="s">
        <v>22</v>
      </c>
      <c r="R188" s="2" t="s">
        <v>105</v>
      </c>
      <c r="S188" t="e">
        <v>#N/A</v>
      </c>
    </row>
    <row r="189" spans="12:19" x14ac:dyDescent="0.25">
      <c r="L189" s="2" t="s">
        <v>109</v>
      </c>
      <c r="M189" s="1">
        <v>24</v>
      </c>
      <c r="N189" s="1" t="str">
        <f t="shared" si="4"/>
        <v>8º Ano C</v>
      </c>
      <c r="O189" s="2">
        <v>5</v>
      </c>
      <c r="P189" s="1">
        <f t="shared" si="5"/>
        <v>52</v>
      </c>
      <c r="Q189" s="1" t="s">
        <v>22</v>
      </c>
      <c r="R189" s="2" t="s">
        <v>105</v>
      </c>
      <c r="S189" t="e">
        <v>#N/A</v>
      </c>
    </row>
    <row r="190" spans="12:19" x14ac:dyDescent="0.25">
      <c r="L190" s="2" t="s">
        <v>110</v>
      </c>
      <c r="M190" s="1">
        <v>25</v>
      </c>
      <c r="N190" s="1" t="str">
        <f t="shared" si="4"/>
        <v>8º Ano D</v>
      </c>
      <c r="O190" s="2">
        <v>5</v>
      </c>
      <c r="P190" s="1">
        <f t="shared" si="5"/>
        <v>52</v>
      </c>
      <c r="Q190" s="1" t="s">
        <v>22</v>
      </c>
      <c r="R190" s="2" t="s">
        <v>105</v>
      </c>
      <c r="S190" t="e">
        <v>#N/A</v>
      </c>
    </row>
    <row r="191" spans="12:19" x14ac:dyDescent="0.25">
      <c r="L191" s="2" t="s">
        <v>107</v>
      </c>
      <c r="M191" s="1">
        <v>16</v>
      </c>
      <c r="N191" s="1" t="str">
        <f t="shared" si="4"/>
        <v>9º ano A</v>
      </c>
      <c r="O191" s="2">
        <v>5</v>
      </c>
      <c r="P191" s="1">
        <f t="shared" si="5"/>
        <v>52</v>
      </c>
      <c r="Q191" s="1" t="s">
        <v>22</v>
      </c>
      <c r="R191" s="2" t="s">
        <v>105</v>
      </c>
      <c r="S191" t="e">
        <v>#N/A</v>
      </c>
    </row>
    <row r="192" spans="12:19" x14ac:dyDescent="0.25">
      <c r="L192" s="2" t="s">
        <v>115</v>
      </c>
      <c r="M192" s="1">
        <v>22</v>
      </c>
      <c r="N192" s="1" t="str">
        <f t="shared" si="4"/>
        <v>8º Ano A</v>
      </c>
      <c r="O192" s="2">
        <v>18</v>
      </c>
      <c r="P192" s="1">
        <f t="shared" si="5"/>
        <v>65</v>
      </c>
      <c r="Q192" s="1" t="s">
        <v>68</v>
      </c>
      <c r="R192" s="2" t="s">
        <v>36</v>
      </c>
      <c r="S192" t="s">
        <v>37</v>
      </c>
    </row>
    <row r="193" spans="12:19" x14ac:dyDescent="0.25">
      <c r="L193" s="2" t="s">
        <v>116</v>
      </c>
      <c r="M193" s="1">
        <v>23</v>
      </c>
      <c r="N193" s="1" t="str">
        <f t="shared" si="4"/>
        <v>8º Ano B</v>
      </c>
      <c r="O193" s="2">
        <v>18</v>
      </c>
      <c r="P193" s="1">
        <f t="shared" si="5"/>
        <v>65</v>
      </c>
      <c r="Q193" s="1" t="s">
        <v>68</v>
      </c>
      <c r="R193" s="2" t="s">
        <v>36</v>
      </c>
      <c r="S193" t="s">
        <v>37</v>
      </c>
    </row>
    <row r="194" spans="12:19" x14ac:dyDescent="0.25">
      <c r="L194" s="2" t="s">
        <v>109</v>
      </c>
      <c r="M194" s="1">
        <v>24</v>
      </c>
      <c r="N194" s="1" t="str">
        <f t="shared" si="4"/>
        <v>8º Ano C</v>
      </c>
      <c r="O194" s="2">
        <v>18</v>
      </c>
      <c r="P194" s="1">
        <f t="shared" si="5"/>
        <v>65</v>
      </c>
      <c r="Q194" s="1" t="s">
        <v>68</v>
      </c>
      <c r="R194" s="2" t="s">
        <v>36</v>
      </c>
      <c r="S194" t="s">
        <v>37</v>
      </c>
    </row>
    <row r="195" spans="12:19" x14ac:dyDescent="0.25">
      <c r="L195" s="2" t="s">
        <v>110</v>
      </c>
      <c r="M195" s="1">
        <v>25</v>
      </c>
      <c r="N195" s="1" t="str">
        <f t="shared" ref="N195:N219" si="6">VLOOKUP(L195,G:I,3,FALSE)</f>
        <v>8º Ano D</v>
      </c>
      <c r="O195" s="2">
        <v>18</v>
      </c>
      <c r="P195" s="1">
        <f t="shared" ref="P195:P219" si="7">VLOOKUP(Q195,D:F,2,FALSE)</f>
        <v>65</v>
      </c>
      <c r="Q195" s="1" t="s">
        <v>68</v>
      </c>
      <c r="R195" s="2" t="s">
        <v>36</v>
      </c>
      <c r="S195" t="s">
        <v>37</v>
      </c>
    </row>
    <row r="196" spans="12:19" x14ac:dyDescent="0.25">
      <c r="L196" s="2" t="s">
        <v>107</v>
      </c>
      <c r="M196" s="1">
        <v>16</v>
      </c>
      <c r="N196" s="1" t="str">
        <f t="shared" si="6"/>
        <v>9º ano A</v>
      </c>
      <c r="O196" s="2">
        <v>19</v>
      </c>
      <c r="P196" s="1">
        <f t="shared" si="7"/>
        <v>66</v>
      </c>
      <c r="Q196" s="1" t="s">
        <v>71</v>
      </c>
      <c r="R196" s="2" t="s">
        <v>36</v>
      </c>
      <c r="S196" t="s">
        <v>37</v>
      </c>
    </row>
    <row r="197" spans="12:19" x14ac:dyDescent="0.25">
      <c r="L197" s="2" t="s">
        <v>104</v>
      </c>
      <c r="M197" s="1">
        <v>26</v>
      </c>
      <c r="N197" s="1" t="str">
        <f t="shared" si="6"/>
        <v>9º Ano B</v>
      </c>
      <c r="O197" s="2">
        <v>19</v>
      </c>
      <c r="P197" s="1">
        <f t="shared" si="7"/>
        <v>66</v>
      </c>
      <c r="Q197" s="1" t="s">
        <v>71</v>
      </c>
      <c r="R197" s="2" t="s">
        <v>36</v>
      </c>
      <c r="S197" t="s">
        <v>37</v>
      </c>
    </row>
    <row r="198" spans="12:19" x14ac:dyDescent="0.25">
      <c r="L198" s="2" t="s">
        <v>106</v>
      </c>
      <c r="M198" s="1">
        <v>27</v>
      </c>
      <c r="N198" s="1" t="str">
        <f t="shared" si="6"/>
        <v>9º Ano C</v>
      </c>
      <c r="O198" s="2">
        <v>19</v>
      </c>
      <c r="P198" s="1">
        <f t="shared" si="7"/>
        <v>66</v>
      </c>
      <c r="Q198" s="1" t="s">
        <v>71</v>
      </c>
      <c r="R198" s="2" t="s">
        <v>36</v>
      </c>
      <c r="S198" t="s">
        <v>37</v>
      </c>
    </row>
    <row r="199" spans="12:19" x14ac:dyDescent="0.25">
      <c r="L199" s="2" t="s">
        <v>111</v>
      </c>
      <c r="M199" s="1">
        <v>18</v>
      </c>
      <c r="N199" s="1" t="str">
        <f t="shared" si="6"/>
        <v>7º Ano A</v>
      </c>
      <c r="O199" s="2">
        <v>20</v>
      </c>
      <c r="P199" s="1">
        <f t="shared" si="7"/>
        <v>67</v>
      </c>
      <c r="Q199" s="1" t="s">
        <v>74</v>
      </c>
      <c r="R199" s="2" t="s">
        <v>78</v>
      </c>
      <c r="S199" t="s">
        <v>79</v>
      </c>
    </row>
    <row r="200" spans="12:19" x14ac:dyDescent="0.25">
      <c r="L200" s="2" t="s">
        <v>112</v>
      </c>
      <c r="M200" s="1">
        <v>19</v>
      </c>
      <c r="N200" s="1" t="str">
        <f t="shared" si="6"/>
        <v>7º Ano B</v>
      </c>
      <c r="O200" s="2">
        <v>20</v>
      </c>
      <c r="P200" s="1">
        <f t="shared" si="7"/>
        <v>67</v>
      </c>
      <c r="Q200" s="1" t="s">
        <v>74</v>
      </c>
      <c r="R200" s="2" t="s">
        <v>78</v>
      </c>
      <c r="S200" t="s">
        <v>79</v>
      </c>
    </row>
    <row r="201" spans="12:19" x14ac:dyDescent="0.25">
      <c r="L201" s="2" t="s">
        <v>113</v>
      </c>
      <c r="M201" s="1">
        <v>20</v>
      </c>
      <c r="N201" s="1" t="str">
        <f t="shared" si="6"/>
        <v>7º Ano C</v>
      </c>
      <c r="O201" s="2">
        <v>20</v>
      </c>
      <c r="P201" s="1">
        <f t="shared" si="7"/>
        <v>67</v>
      </c>
      <c r="Q201" s="1" t="s">
        <v>74</v>
      </c>
      <c r="R201" s="2" t="s">
        <v>78</v>
      </c>
      <c r="S201" t="s">
        <v>79</v>
      </c>
    </row>
    <row r="202" spans="12:19" x14ac:dyDescent="0.25">
      <c r="L202" s="2" t="s">
        <v>114</v>
      </c>
      <c r="M202" s="1">
        <v>21</v>
      </c>
      <c r="N202" s="1" t="str">
        <f t="shared" si="6"/>
        <v>7º Ano D</v>
      </c>
      <c r="O202" s="2">
        <v>20</v>
      </c>
      <c r="P202" s="1">
        <f t="shared" si="7"/>
        <v>67</v>
      </c>
      <c r="Q202" s="1" t="s">
        <v>74</v>
      </c>
      <c r="R202" s="2" t="s">
        <v>78</v>
      </c>
      <c r="S202" t="s">
        <v>79</v>
      </c>
    </row>
    <row r="203" spans="12:19" x14ac:dyDescent="0.25">
      <c r="L203" s="2" t="s">
        <v>115</v>
      </c>
      <c r="M203" s="1">
        <v>22</v>
      </c>
      <c r="N203" s="1" t="str">
        <f t="shared" si="6"/>
        <v>8º Ano A</v>
      </c>
      <c r="O203" s="2">
        <v>20</v>
      </c>
      <c r="P203" s="1">
        <f t="shared" si="7"/>
        <v>67</v>
      </c>
      <c r="Q203" s="1" t="s">
        <v>74</v>
      </c>
      <c r="R203" s="2" t="s">
        <v>78</v>
      </c>
      <c r="S203" t="s">
        <v>79</v>
      </c>
    </row>
    <row r="204" spans="12:19" x14ac:dyDescent="0.25">
      <c r="L204" s="2" t="s">
        <v>116</v>
      </c>
      <c r="M204" s="1">
        <v>23</v>
      </c>
      <c r="N204" s="1" t="str">
        <f t="shared" si="6"/>
        <v>8º Ano B</v>
      </c>
      <c r="O204" s="2">
        <v>20</v>
      </c>
      <c r="P204" s="1">
        <f t="shared" si="7"/>
        <v>67</v>
      </c>
      <c r="Q204" s="1" t="s">
        <v>74</v>
      </c>
      <c r="R204" s="2" t="s">
        <v>78</v>
      </c>
      <c r="S204" t="s">
        <v>79</v>
      </c>
    </row>
    <row r="205" spans="12:19" x14ac:dyDescent="0.25">
      <c r="L205" s="2" t="s">
        <v>109</v>
      </c>
      <c r="M205" s="1">
        <v>24</v>
      </c>
      <c r="N205" s="1" t="str">
        <f t="shared" si="6"/>
        <v>8º Ano C</v>
      </c>
      <c r="O205" s="2">
        <v>20</v>
      </c>
      <c r="P205" s="1">
        <f t="shared" si="7"/>
        <v>67</v>
      </c>
      <c r="Q205" s="1" t="s">
        <v>74</v>
      </c>
      <c r="R205" s="2" t="s">
        <v>78</v>
      </c>
      <c r="S205" t="s">
        <v>79</v>
      </c>
    </row>
    <row r="206" spans="12:19" x14ac:dyDescent="0.25">
      <c r="L206" s="2" t="s">
        <v>115</v>
      </c>
      <c r="M206" s="1">
        <v>22</v>
      </c>
      <c r="N206" s="1" t="str">
        <f t="shared" si="6"/>
        <v>8º Ano A</v>
      </c>
      <c r="O206" s="2">
        <v>21</v>
      </c>
      <c r="P206" s="1">
        <f t="shared" si="7"/>
        <v>68</v>
      </c>
      <c r="Q206" s="1" t="s">
        <v>77</v>
      </c>
      <c r="R206" s="2" t="s">
        <v>100</v>
      </c>
      <c r="S206" t="s">
        <v>101</v>
      </c>
    </row>
    <row r="207" spans="12:19" x14ac:dyDescent="0.25">
      <c r="L207" s="2" t="s">
        <v>116</v>
      </c>
      <c r="M207" s="1">
        <v>23</v>
      </c>
      <c r="N207" s="1" t="str">
        <f t="shared" si="6"/>
        <v>8º Ano B</v>
      </c>
      <c r="O207" s="2">
        <v>21</v>
      </c>
      <c r="P207" s="1">
        <f t="shared" si="7"/>
        <v>68</v>
      </c>
      <c r="Q207" s="1" t="s">
        <v>77</v>
      </c>
      <c r="R207" s="2" t="s">
        <v>100</v>
      </c>
      <c r="S207" t="s">
        <v>101</v>
      </c>
    </row>
    <row r="208" spans="12:19" x14ac:dyDescent="0.25">
      <c r="L208" s="2" t="s">
        <v>109</v>
      </c>
      <c r="M208" s="1">
        <v>24</v>
      </c>
      <c r="N208" s="1" t="str">
        <f t="shared" si="6"/>
        <v>8º Ano C</v>
      </c>
      <c r="O208" s="2">
        <v>21</v>
      </c>
      <c r="P208" s="1">
        <f t="shared" si="7"/>
        <v>68</v>
      </c>
      <c r="Q208" s="1" t="s">
        <v>77</v>
      </c>
      <c r="R208" s="2" t="s">
        <v>100</v>
      </c>
      <c r="S208" t="s">
        <v>101</v>
      </c>
    </row>
    <row r="209" spans="12:19" x14ac:dyDescent="0.25">
      <c r="L209" s="2" t="s">
        <v>111</v>
      </c>
      <c r="M209" s="1">
        <v>18</v>
      </c>
      <c r="N209" s="1" t="str">
        <f t="shared" si="6"/>
        <v>7º Ano A</v>
      </c>
      <c r="O209" s="2">
        <v>22</v>
      </c>
      <c r="P209" s="1">
        <f t="shared" si="7"/>
        <v>69</v>
      </c>
      <c r="Q209" s="1" t="s">
        <v>80</v>
      </c>
      <c r="R209" s="2" t="s">
        <v>100</v>
      </c>
      <c r="S209" t="s">
        <v>101</v>
      </c>
    </row>
    <row r="210" spans="12:19" x14ac:dyDescent="0.25">
      <c r="L210" s="2" t="s">
        <v>112</v>
      </c>
      <c r="M210" s="1">
        <v>19</v>
      </c>
      <c r="N210" s="1" t="str">
        <f t="shared" si="6"/>
        <v>7º Ano B</v>
      </c>
      <c r="O210" s="2">
        <v>22</v>
      </c>
      <c r="P210" s="1">
        <f t="shared" si="7"/>
        <v>69</v>
      </c>
      <c r="Q210" s="1" t="s">
        <v>80</v>
      </c>
      <c r="R210" s="2" t="s">
        <v>100</v>
      </c>
      <c r="S210" t="s">
        <v>101</v>
      </c>
    </row>
    <row r="211" spans="12:19" x14ac:dyDescent="0.25">
      <c r="L211" s="2" t="s">
        <v>113</v>
      </c>
      <c r="M211" s="1">
        <v>20</v>
      </c>
      <c r="N211" s="1" t="str">
        <f t="shared" si="6"/>
        <v>7º Ano C</v>
      </c>
      <c r="O211" s="2">
        <v>22</v>
      </c>
      <c r="P211" s="1">
        <f t="shared" si="7"/>
        <v>69</v>
      </c>
      <c r="Q211" s="1" t="s">
        <v>80</v>
      </c>
      <c r="R211" s="2" t="s">
        <v>100</v>
      </c>
      <c r="S211" t="s">
        <v>101</v>
      </c>
    </row>
    <row r="212" spans="12:19" x14ac:dyDescent="0.25">
      <c r="L212" s="2" t="s">
        <v>114</v>
      </c>
      <c r="M212" s="1">
        <v>21</v>
      </c>
      <c r="N212" s="1" t="str">
        <f t="shared" si="6"/>
        <v>7º Ano D</v>
      </c>
      <c r="O212" s="2">
        <v>22</v>
      </c>
      <c r="P212" s="1">
        <f t="shared" si="7"/>
        <v>69</v>
      </c>
      <c r="Q212" s="1" t="s">
        <v>80</v>
      </c>
      <c r="R212" s="2" t="s">
        <v>100</v>
      </c>
      <c r="S212" t="s">
        <v>101</v>
      </c>
    </row>
    <row r="213" spans="12:19" x14ac:dyDescent="0.25">
      <c r="L213" s="2" t="s">
        <v>108</v>
      </c>
      <c r="M213" s="1">
        <v>28</v>
      </c>
      <c r="N213" s="1" t="str">
        <f t="shared" si="6"/>
        <v>9º Ano D</v>
      </c>
      <c r="O213" s="2">
        <v>23</v>
      </c>
      <c r="P213" s="1">
        <f t="shared" si="7"/>
        <v>70</v>
      </c>
      <c r="Q213" s="1" t="s">
        <v>83</v>
      </c>
      <c r="R213" s="2" t="s">
        <v>100</v>
      </c>
      <c r="S213" t="s">
        <v>101</v>
      </c>
    </row>
    <row r="214" spans="12:19" x14ac:dyDescent="0.25">
      <c r="L214" s="2" t="s">
        <v>107</v>
      </c>
      <c r="M214" s="1">
        <v>16</v>
      </c>
      <c r="N214" s="1" t="str">
        <f t="shared" si="6"/>
        <v>9º ano A</v>
      </c>
      <c r="O214" s="2">
        <v>17</v>
      </c>
      <c r="P214" s="1">
        <f t="shared" si="7"/>
        <v>64</v>
      </c>
      <c r="Q214" s="1" t="s">
        <v>65</v>
      </c>
      <c r="R214" s="2" t="s">
        <v>92</v>
      </c>
      <c r="S214" t="s">
        <v>93</v>
      </c>
    </row>
    <row r="215" spans="12:19" x14ac:dyDescent="0.25">
      <c r="L215" s="2" t="s">
        <v>104</v>
      </c>
      <c r="M215" s="1">
        <v>26</v>
      </c>
      <c r="N215" s="1" t="str">
        <f t="shared" si="6"/>
        <v>9º Ano B</v>
      </c>
      <c r="O215" s="2">
        <v>17</v>
      </c>
      <c r="P215" s="1">
        <f t="shared" si="7"/>
        <v>64</v>
      </c>
      <c r="Q215" s="1" t="s">
        <v>65</v>
      </c>
      <c r="R215" s="2" t="s">
        <v>92</v>
      </c>
      <c r="S215" t="s">
        <v>93</v>
      </c>
    </row>
    <row r="216" spans="12:19" x14ac:dyDescent="0.25">
      <c r="L216" s="2" t="s">
        <v>107</v>
      </c>
      <c r="M216" s="1">
        <v>16</v>
      </c>
      <c r="N216" s="1" t="str">
        <f t="shared" si="6"/>
        <v>9º ano A</v>
      </c>
      <c r="O216" s="2">
        <v>20</v>
      </c>
      <c r="P216" s="1">
        <f t="shared" si="7"/>
        <v>67</v>
      </c>
      <c r="Q216" s="1" t="s">
        <v>74</v>
      </c>
      <c r="R216" s="2" t="s">
        <v>92</v>
      </c>
      <c r="S216" t="s">
        <v>93</v>
      </c>
    </row>
    <row r="217" spans="12:19" x14ac:dyDescent="0.25">
      <c r="L217" s="2" t="s">
        <v>104</v>
      </c>
      <c r="M217" s="1">
        <v>26</v>
      </c>
      <c r="N217" s="1" t="str">
        <f t="shared" si="6"/>
        <v>9º Ano B</v>
      </c>
      <c r="O217" s="2">
        <v>20</v>
      </c>
      <c r="P217" s="1">
        <f t="shared" si="7"/>
        <v>67</v>
      </c>
      <c r="Q217" s="1" t="s">
        <v>74</v>
      </c>
      <c r="R217" s="2" t="s">
        <v>92</v>
      </c>
      <c r="S217" t="s">
        <v>93</v>
      </c>
    </row>
    <row r="218" spans="12:19" x14ac:dyDescent="0.25">
      <c r="L218" s="2" t="s">
        <v>106</v>
      </c>
      <c r="M218" s="1">
        <v>27</v>
      </c>
      <c r="N218" s="1" t="str">
        <f t="shared" si="6"/>
        <v>9º Ano C</v>
      </c>
      <c r="O218" s="2">
        <v>20</v>
      </c>
      <c r="P218" s="1">
        <f t="shared" si="7"/>
        <v>67</v>
      </c>
      <c r="Q218" s="1" t="s">
        <v>74</v>
      </c>
      <c r="R218" s="2" t="s">
        <v>92</v>
      </c>
      <c r="S218" t="s">
        <v>93</v>
      </c>
    </row>
    <row r="219" spans="12:19" x14ac:dyDescent="0.25">
      <c r="L219" s="2" t="s">
        <v>108</v>
      </c>
      <c r="M219" s="1">
        <v>28</v>
      </c>
      <c r="N219" s="1" t="str">
        <f t="shared" si="6"/>
        <v>9º Ano D</v>
      </c>
      <c r="O219" s="2">
        <v>20</v>
      </c>
      <c r="P219" s="1">
        <f t="shared" si="7"/>
        <v>67</v>
      </c>
      <c r="Q219" s="1" t="s">
        <v>74</v>
      </c>
      <c r="R219" s="2" t="s">
        <v>92</v>
      </c>
      <c r="S219" t="s">
        <v>93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9"/>
  <sheetViews>
    <sheetView tabSelected="1" workbookViewId="0">
      <selection activeCell="B1" sqref="B1:B1048576"/>
    </sheetView>
  </sheetViews>
  <sheetFormatPr defaultRowHeight="15" x14ac:dyDescent="0.25"/>
  <cols>
    <col min="1" max="1" width="14.85546875" style="1" customWidth="1"/>
    <col min="2" max="2" width="44.42578125" style="1" customWidth="1"/>
    <col min="3" max="3" width="14.85546875" style="1" customWidth="1"/>
    <col min="4" max="4" width="23.5703125" style="1" customWidth="1"/>
    <col min="5" max="5" width="10.28515625" style="1" customWidth="1"/>
    <col min="6" max="6" width="14.85546875" style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105</v>
      </c>
      <c r="B2" s="1" t="e">
        <v>#N/A</v>
      </c>
      <c r="C2" s="1">
        <v>52</v>
      </c>
      <c r="D2" s="1" t="s">
        <v>22</v>
      </c>
      <c r="E2" s="1">
        <v>26</v>
      </c>
      <c r="F2" s="1" t="s">
        <v>42</v>
      </c>
    </row>
    <row r="3" spans="1:6" x14ac:dyDescent="0.25">
      <c r="A3" s="1" t="s">
        <v>105</v>
      </c>
      <c r="B3" s="1" t="e">
        <v>#N/A</v>
      </c>
      <c r="C3" s="1">
        <v>52</v>
      </c>
      <c r="D3" s="1" t="s">
        <v>22</v>
      </c>
      <c r="E3" s="1">
        <v>27</v>
      </c>
      <c r="F3" s="1" t="s">
        <v>46</v>
      </c>
    </row>
    <row r="4" spans="1:6" x14ac:dyDescent="0.25">
      <c r="A4" s="1" t="s">
        <v>81</v>
      </c>
      <c r="B4" s="1" t="s">
        <v>82</v>
      </c>
      <c r="C4" s="1">
        <v>49</v>
      </c>
      <c r="D4" s="1" t="s">
        <v>12</v>
      </c>
      <c r="E4" s="1">
        <v>16</v>
      </c>
      <c r="F4" s="1" t="s">
        <v>9</v>
      </c>
    </row>
    <row r="5" spans="1:6" x14ac:dyDescent="0.25">
      <c r="A5" s="1" t="s">
        <v>57</v>
      </c>
      <c r="B5" s="1" t="s">
        <v>58</v>
      </c>
      <c r="C5" s="1">
        <v>49</v>
      </c>
      <c r="D5" s="1" t="s">
        <v>12</v>
      </c>
      <c r="E5" s="1">
        <v>26</v>
      </c>
      <c r="F5" s="1" t="s">
        <v>42</v>
      </c>
    </row>
    <row r="6" spans="1:6" x14ac:dyDescent="0.25">
      <c r="A6" s="1" t="s">
        <v>98</v>
      </c>
      <c r="B6" s="1" t="s">
        <v>99</v>
      </c>
      <c r="C6" s="1">
        <v>49</v>
      </c>
      <c r="D6" s="1" t="s">
        <v>12</v>
      </c>
      <c r="E6" s="1">
        <v>27</v>
      </c>
      <c r="F6" s="1" t="s">
        <v>46</v>
      </c>
    </row>
    <row r="7" spans="1:6" x14ac:dyDescent="0.25">
      <c r="A7" s="1" t="s">
        <v>63</v>
      </c>
      <c r="B7" s="1" t="s">
        <v>64</v>
      </c>
      <c r="C7" s="1">
        <v>50</v>
      </c>
      <c r="D7" s="1" t="s">
        <v>14</v>
      </c>
      <c r="E7" s="1">
        <v>16</v>
      </c>
      <c r="F7" s="1" t="s">
        <v>9</v>
      </c>
    </row>
    <row r="8" spans="1:6" x14ac:dyDescent="0.25">
      <c r="A8" s="1" t="s">
        <v>63</v>
      </c>
      <c r="B8" s="1" t="s">
        <v>64</v>
      </c>
      <c r="C8" s="1">
        <v>50</v>
      </c>
      <c r="D8" s="1" t="s">
        <v>14</v>
      </c>
      <c r="E8" s="1">
        <v>26</v>
      </c>
      <c r="F8" s="1" t="s">
        <v>42</v>
      </c>
    </row>
    <row r="9" spans="1:6" x14ac:dyDescent="0.25">
      <c r="A9" s="1" t="s">
        <v>63</v>
      </c>
      <c r="B9" s="1" t="s">
        <v>64</v>
      </c>
      <c r="C9" s="1">
        <v>50</v>
      </c>
      <c r="D9" s="1" t="s">
        <v>14</v>
      </c>
      <c r="E9" s="1">
        <v>27</v>
      </c>
      <c r="F9" s="1" t="s">
        <v>46</v>
      </c>
    </row>
    <row r="10" spans="1:6" x14ac:dyDescent="0.25">
      <c r="A10" s="1" t="s">
        <v>90</v>
      </c>
      <c r="B10" s="1" t="s">
        <v>91</v>
      </c>
      <c r="C10" s="1">
        <v>53</v>
      </c>
      <c r="D10" s="1" t="s">
        <v>26</v>
      </c>
      <c r="E10" s="1">
        <v>16</v>
      </c>
      <c r="F10" s="1" t="s">
        <v>9</v>
      </c>
    </row>
    <row r="11" spans="1:6" x14ac:dyDescent="0.25">
      <c r="A11" s="1" t="s">
        <v>90</v>
      </c>
      <c r="B11" s="1" t="s">
        <v>91</v>
      </c>
      <c r="C11" s="1">
        <v>53</v>
      </c>
      <c r="D11" s="1" t="s">
        <v>26</v>
      </c>
      <c r="E11" s="1">
        <v>26</v>
      </c>
      <c r="F11" s="1" t="s">
        <v>42</v>
      </c>
    </row>
    <row r="12" spans="1:6" x14ac:dyDescent="0.25">
      <c r="A12" s="1" t="s">
        <v>90</v>
      </c>
      <c r="B12" s="1" t="s">
        <v>91</v>
      </c>
      <c r="C12" s="1">
        <v>53</v>
      </c>
      <c r="D12" s="1" t="s">
        <v>26</v>
      </c>
      <c r="E12" s="1">
        <v>27</v>
      </c>
      <c r="F12" s="1" t="s">
        <v>46</v>
      </c>
    </row>
    <row r="13" spans="1:6" x14ac:dyDescent="0.25">
      <c r="A13" s="1" t="s">
        <v>90</v>
      </c>
      <c r="B13" s="1" t="s">
        <v>91</v>
      </c>
      <c r="C13" s="1">
        <v>53</v>
      </c>
      <c r="D13" s="1" t="s">
        <v>26</v>
      </c>
      <c r="E13" s="1">
        <v>28</v>
      </c>
      <c r="F13" s="1" t="s">
        <v>50</v>
      </c>
    </row>
    <row r="14" spans="1:6" x14ac:dyDescent="0.25">
      <c r="A14" s="1" t="s">
        <v>105</v>
      </c>
      <c r="B14" s="1" t="e">
        <v>#N/A</v>
      </c>
      <c r="C14" s="1">
        <v>52</v>
      </c>
      <c r="D14" s="1" t="s">
        <v>22</v>
      </c>
      <c r="E14" s="1">
        <v>28</v>
      </c>
      <c r="F14" s="1" t="s">
        <v>50</v>
      </c>
    </row>
    <row r="15" spans="1:6" x14ac:dyDescent="0.25">
      <c r="A15" s="1" t="s">
        <v>63</v>
      </c>
      <c r="B15" s="1" t="s">
        <v>64</v>
      </c>
      <c r="C15" s="1">
        <v>50</v>
      </c>
      <c r="D15" s="1" t="s">
        <v>14</v>
      </c>
      <c r="E15" s="1">
        <v>28</v>
      </c>
      <c r="F15" s="1" t="s">
        <v>50</v>
      </c>
    </row>
    <row r="16" spans="1:6" x14ac:dyDescent="0.25">
      <c r="A16" s="1" t="s">
        <v>63</v>
      </c>
      <c r="B16" s="1" t="s">
        <v>64</v>
      </c>
      <c r="C16" s="1">
        <v>50</v>
      </c>
      <c r="D16" s="1" t="s">
        <v>14</v>
      </c>
      <c r="E16" s="1">
        <v>24</v>
      </c>
      <c r="F16" s="1" t="s">
        <v>35</v>
      </c>
    </row>
    <row r="17" spans="1:6" x14ac:dyDescent="0.25">
      <c r="A17" s="1" t="s">
        <v>63</v>
      </c>
      <c r="B17" s="1" t="s">
        <v>64</v>
      </c>
      <c r="C17" s="1">
        <v>50</v>
      </c>
      <c r="D17" s="1" t="s">
        <v>14</v>
      </c>
      <c r="E17" s="1">
        <v>25</v>
      </c>
      <c r="F17" s="1" t="s">
        <v>39</v>
      </c>
    </row>
    <row r="18" spans="1:6" x14ac:dyDescent="0.25">
      <c r="A18" s="1" t="s">
        <v>54</v>
      </c>
      <c r="B18" s="1" t="s">
        <v>55</v>
      </c>
      <c r="C18" s="1">
        <v>54</v>
      </c>
      <c r="D18" s="1" t="s">
        <v>30</v>
      </c>
      <c r="E18" s="1">
        <v>18</v>
      </c>
      <c r="F18" s="1" t="s">
        <v>13</v>
      </c>
    </row>
    <row r="19" spans="1:6" x14ac:dyDescent="0.25">
      <c r="A19" s="1" t="s">
        <v>75</v>
      </c>
      <c r="B19" s="1" t="s">
        <v>76</v>
      </c>
      <c r="C19" s="1">
        <v>51</v>
      </c>
      <c r="D19" s="1" t="s">
        <v>18</v>
      </c>
      <c r="E19" s="1">
        <v>18</v>
      </c>
      <c r="F19" s="1" t="s">
        <v>13</v>
      </c>
    </row>
    <row r="20" spans="1:6" x14ac:dyDescent="0.25">
      <c r="A20" s="1" t="s">
        <v>94</v>
      </c>
      <c r="B20" s="1" t="s">
        <v>95</v>
      </c>
      <c r="C20" s="1">
        <v>55</v>
      </c>
      <c r="D20" s="1" t="s">
        <v>34</v>
      </c>
      <c r="E20" s="1">
        <v>18</v>
      </c>
      <c r="F20" s="1" t="s">
        <v>13</v>
      </c>
    </row>
    <row r="21" spans="1:6" x14ac:dyDescent="0.25">
      <c r="A21" s="1" t="s">
        <v>32</v>
      </c>
      <c r="B21" s="1" t="s">
        <v>33</v>
      </c>
      <c r="C21" s="1">
        <v>56</v>
      </c>
      <c r="D21" s="1" t="s">
        <v>38</v>
      </c>
      <c r="E21" s="1">
        <v>18</v>
      </c>
      <c r="F21" s="1" t="s">
        <v>13</v>
      </c>
    </row>
    <row r="22" spans="1:6" x14ac:dyDescent="0.25">
      <c r="A22" s="1" t="s">
        <v>88</v>
      </c>
      <c r="B22" s="1" t="s">
        <v>89</v>
      </c>
      <c r="C22" s="1">
        <v>57</v>
      </c>
      <c r="D22" s="1" t="s">
        <v>41</v>
      </c>
      <c r="E22" s="1">
        <v>18</v>
      </c>
      <c r="F22" s="1" t="s">
        <v>13</v>
      </c>
    </row>
    <row r="23" spans="1:6" x14ac:dyDescent="0.25">
      <c r="A23" s="1" t="s">
        <v>43</v>
      </c>
      <c r="B23" s="1" t="s">
        <v>44</v>
      </c>
      <c r="C23" s="1">
        <v>58</v>
      </c>
      <c r="D23" s="1" t="s">
        <v>45</v>
      </c>
      <c r="E23" s="1">
        <v>18</v>
      </c>
      <c r="F23" s="1" t="s">
        <v>13</v>
      </c>
    </row>
    <row r="24" spans="1:6" x14ac:dyDescent="0.25">
      <c r="A24" s="1" t="s">
        <v>102</v>
      </c>
      <c r="B24" s="1" t="s">
        <v>103</v>
      </c>
      <c r="C24" s="1">
        <v>59</v>
      </c>
      <c r="D24" s="1" t="s">
        <v>49</v>
      </c>
      <c r="E24" s="1">
        <v>18</v>
      </c>
      <c r="F24" s="1" t="s">
        <v>13</v>
      </c>
    </row>
    <row r="25" spans="1:6" x14ac:dyDescent="0.25">
      <c r="A25" s="1" t="s">
        <v>32</v>
      </c>
      <c r="B25" s="1" t="s">
        <v>33</v>
      </c>
      <c r="C25" s="1">
        <v>60</v>
      </c>
      <c r="D25" s="1" t="s">
        <v>53</v>
      </c>
      <c r="E25" s="1">
        <v>18</v>
      </c>
      <c r="F25" s="1" t="s">
        <v>13</v>
      </c>
    </row>
    <row r="26" spans="1:6" x14ac:dyDescent="0.25">
      <c r="A26" s="1" t="s">
        <v>66</v>
      </c>
      <c r="B26" s="1" t="s">
        <v>67</v>
      </c>
      <c r="C26" s="1">
        <v>61</v>
      </c>
      <c r="D26" s="1" t="s">
        <v>56</v>
      </c>
      <c r="E26" s="1">
        <v>18</v>
      </c>
      <c r="F26" s="1" t="s">
        <v>13</v>
      </c>
    </row>
    <row r="27" spans="1:6" x14ac:dyDescent="0.25">
      <c r="A27" s="1" t="s">
        <v>69</v>
      </c>
      <c r="B27" s="1" t="s">
        <v>70</v>
      </c>
      <c r="C27" s="1">
        <v>62</v>
      </c>
      <c r="D27" s="1" t="s">
        <v>59</v>
      </c>
      <c r="E27" s="1">
        <v>18</v>
      </c>
      <c r="F27" s="1" t="s">
        <v>13</v>
      </c>
    </row>
    <row r="28" spans="1:6" x14ac:dyDescent="0.25">
      <c r="A28" s="1" t="s">
        <v>10</v>
      </c>
      <c r="B28" s="1" t="s">
        <v>11</v>
      </c>
      <c r="C28" s="1">
        <v>53</v>
      </c>
      <c r="D28" s="1" t="s">
        <v>26</v>
      </c>
      <c r="E28" s="1">
        <v>18</v>
      </c>
      <c r="F28" s="1" t="s">
        <v>13</v>
      </c>
    </row>
    <row r="29" spans="1:6" x14ac:dyDescent="0.25">
      <c r="A29" s="1" t="s">
        <v>96</v>
      </c>
      <c r="B29" s="1" t="s">
        <v>97</v>
      </c>
      <c r="C29" s="1">
        <v>48</v>
      </c>
      <c r="D29" s="1" t="s">
        <v>8</v>
      </c>
      <c r="E29" s="1">
        <v>18</v>
      </c>
      <c r="F29" s="1" t="s">
        <v>13</v>
      </c>
    </row>
    <row r="30" spans="1:6" x14ac:dyDescent="0.25">
      <c r="A30" s="1" t="s">
        <v>98</v>
      </c>
      <c r="B30" s="1" t="s">
        <v>99</v>
      </c>
      <c r="C30" s="1">
        <v>49</v>
      </c>
      <c r="D30" s="1" t="s">
        <v>12</v>
      </c>
      <c r="E30" s="1">
        <v>18</v>
      </c>
      <c r="F30" s="1" t="s">
        <v>13</v>
      </c>
    </row>
    <row r="31" spans="1:6" x14ac:dyDescent="0.25">
      <c r="A31" s="1" t="s">
        <v>24</v>
      </c>
      <c r="B31" s="1" t="s">
        <v>25</v>
      </c>
      <c r="C31" s="1">
        <v>63</v>
      </c>
      <c r="D31" s="1" t="s">
        <v>62</v>
      </c>
      <c r="E31" s="1">
        <v>18</v>
      </c>
      <c r="F31" s="1" t="s">
        <v>13</v>
      </c>
    </row>
    <row r="32" spans="1:6" x14ac:dyDescent="0.25">
      <c r="A32" s="1" t="s">
        <v>54</v>
      </c>
      <c r="B32" s="1" t="s">
        <v>55</v>
      </c>
      <c r="C32" s="1">
        <v>54</v>
      </c>
      <c r="D32" s="1" t="s">
        <v>30</v>
      </c>
      <c r="E32" s="1">
        <v>19</v>
      </c>
      <c r="F32" s="1" t="s">
        <v>15</v>
      </c>
    </row>
    <row r="33" spans="1:6" x14ac:dyDescent="0.25">
      <c r="A33" s="1" t="s">
        <v>75</v>
      </c>
      <c r="B33" s="1" t="s">
        <v>76</v>
      </c>
      <c r="C33" s="1">
        <v>51</v>
      </c>
      <c r="D33" s="1" t="s">
        <v>18</v>
      </c>
      <c r="E33" s="1">
        <v>19</v>
      </c>
      <c r="F33" s="1" t="s">
        <v>15</v>
      </c>
    </row>
    <row r="34" spans="1:6" x14ac:dyDescent="0.25">
      <c r="A34" s="1" t="s">
        <v>94</v>
      </c>
      <c r="B34" s="1" t="s">
        <v>95</v>
      </c>
      <c r="C34" s="1">
        <v>55</v>
      </c>
      <c r="D34" s="1" t="s">
        <v>34</v>
      </c>
      <c r="E34" s="1">
        <v>19</v>
      </c>
      <c r="F34" s="1" t="s">
        <v>15</v>
      </c>
    </row>
    <row r="35" spans="1:6" x14ac:dyDescent="0.25">
      <c r="A35" s="1" t="s">
        <v>32</v>
      </c>
      <c r="B35" s="1" t="s">
        <v>33</v>
      </c>
      <c r="C35" s="1">
        <v>56</v>
      </c>
      <c r="D35" s="1" t="s">
        <v>38</v>
      </c>
      <c r="E35" s="1">
        <v>19</v>
      </c>
      <c r="F35" s="1" t="s">
        <v>15</v>
      </c>
    </row>
    <row r="36" spans="1:6" x14ac:dyDescent="0.25">
      <c r="A36" s="1" t="s">
        <v>88</v>
      </c>
      <c r="B36" s="1" t="s">
        <v>89</v>
      </c>
      <c r="C36" s="1">
        <v>57</v>
      </c>
      <c r="D36" s="1" t="s">
        <v>41</v>
      </c>
      <c r="E36" s="1">
        <v>19</v>
      </c>
      <c r="F36" s="1" t="s">
        <v>15</v>
      </c>
    </row>
    <row r="37" spans="1:6" x14ac:dyDescent="0.25">
      <c r="A37" s="1" t="s">
        <v>43</v>
      </c>
      <c r="B37" s="1" t="s">
        <v>44</v>
      </c>
      <c r="C37" s="1">
        <v>58</v>
      </c>
      <c r="D37" s="1" t="s">
        <v>45</v>
      </c>
      <c r="E37" s="1">
        <v>19</v>
      </c>
      <c r="F37" s="1" t="s">
        <v>15</v>
      </c>
    </row>
    <row r="38" spans="1:6" x14ac:dyDescent="0.25">
      <c r="A38" s="1" t="s">
        <v>102</v>
      </c>
      <c r="B38" s="1" t="s">
        <v>103</v>
      </c>
      <c r="C38" s="1">
        <v>59</v>
      </c>
      <c r="D38" s="1" t="s">
        <v>49</v>
      </c>
      <c r="E38" s="1">
        <v>19</v>
      </c>
      <c r="F38" s="1" t="s">
        <v>15</v>
      </c>
    </row>
    <row r="39" spans="1:6" x14ac:dyDescent="0.25">
      <c r="A39" s="1" t="s">
        <v>32</v>
      </c>
      <c r="B39" s="1" t="s">
        <v>33</v>
      </c>
      <c r="C39" s="1">
        <v>60</v>
      </c>
      <c r="D39" s="1" t="s">
        <v>53</v>
      </c>
      <c r="E39" s="1">
        <v>19</v>
      </c>
      <c r="F39" s="1" t="s">
        <v>15</v>
      </c>
    </row>
    <row r="40" spans="1:6" x14ac:dyDescent="0.25">
      <c r="A40" s="1" t="s">
        <v>66</v>
      </c>
      <c r="B40" s="1" t="s">
        <v>67</v>
      </c>
      <c r="C40" s="1">
        <v>61</v>
      </c>
      <c r="D40" s="1" t="s">
        <v>56</v>
      </c>
      <c r="E40" s="1">
        <v>19</v>
      </c>
      <c r="F40" s="1" t="s">
        <v>15</v>
      </c>
    </row>
    <row r="41" spans="1:6" x14ac:dyDescent="0.25">
      <c r="A41" s="1" t="s">
        <v>69</v>
      </c>
      <c r="B41" s="1" t="s">
        <v>70</v>
      </c>
      <c r="C41" s="1">
        <v>62</v>
      </c>
      <c r="D41" s="1" t="s">
        <v>59</v>
      </c>
      <c r="E41" s="1">
        <v>19</v>
      </c>
      <c r="F41" s="1" t="s">
        <v>15</v>
      </c>
    </row>
    <row r="42" spans="1:6" x14ac:dyDescent="0.25">
      <c r="A42" s="1" t="s">
        <v>10</v>
      </c>
      <c r="B42" s="1" t="s">
        <v>11</v>
      </c>
      <c r="C42" s="1">
        <v>53</v>
      </c>
      <c r="D42" s="1" t="s">
        <v>26</v>
      </c>
      <c r="E42" s="1">
        <v>19</v>
      </c>
      <c r="F42" s="1" t="s">
        <v>15</v>
      </c>
    </row>
    <row r="43" spans="1:6" x14ac:dyDescent="0.25">
      <c r="A43" s="1" t="s">
        <v>47</v>
      </c>
      <c r="B43" s="1" t="s">
        <v>48</v>
      </c>
      <c r="C43" s="1">
        <v>48</v>
      </c>
      <c r="D43" s="1" t="s">
        <v>8</v>
      </c>
      <c r="E43" s="1">
        <v>19</v>
      </c>
      <c r="F43" s="1" t="s">
        <v>15</v>
      </c>
    </row>
    <row r="44" spans="1:6" x14ac:dyDescent="0.25">
      <c r="A44" s="1" t="s">
        <v>98</v>
      </c>
      <c r="B44" s="1" t="s">
        <v>99</v>
      </c>
      <c r="C44" s="1">
        <v>49</v>
      </c>
      <c r="D44" s="1" t="s">
        <v>12</v>
      </c>
      <c r="E44" s="1">
        <v>19</v>
      </c>
      <c r="F44" s="1" t="s">
        <v>15</v>
      </c>
    </row>
    <row r="45" spans="1:6" x14ac:dyDescent="0.25">
      <c r="A45" s="1" t="s">
        <v>24</v>
      </c>
      <c r="B45" s="1" t="s">
        <v>25</v>
      </c>
      <c r="C45" s="1">
        <v>63</v>
      </c>
      <c r="D45" s="1" t="s">
        <v>62</v>
      </c>
      <c r="E45" s="1">
        <v>19</v>
      </c>
      <c r="F45" s="1" t="s">
        <v>15</v>
      </c>
    </row>
    <row r="46" spans="1:6" x14ac:dyDescent="0.25">
      <c r="A46" s="1" t="s">
        <v>54</v>
      </c>
      <c r="B46" s="1" t="s">
        <v>55</v>
      </c>
      <c r="C46" s="1">
        <v>54</v>
      </c>
      <c r="D46" s="1" t="s">
        <v>30</v>
      </c>
      <c r="E46" s="1">
        <v>20</v>
      </c>
      <c r="F46" s="1" t="s">
        <v>19</v>
      </c>
    </row>
    <row r="47" spans="1:6" x14ac:dyDescent="0.25">
      <c r="A47" s="1" t="s">
        <v>75</v>
      </c>
      <c r="B47" s="1" t="s">
        <v>76</v>
      </c>
      <c r="C47" s="1">
        <v>51</v>
      </c>
      <c r="D47" s="1" t="s">
        <v>18</v>
      </c>
      <c r="E47" s="1">
        <v>20</v>
      </c>
      <c r="F47" s="1" t="s">
        <v>19</v>
      </c>
    </row>
    <row r="48" spans="1:6" x14ac:dyDescent="0.25">
      <c r="A48" s="1" t="s">
        <v>94</v>
      </c>
      <c r="B48" s="1" t="s">
        <v>95</v>
      </c>
      <c r="C48" s="1">
        <v>55</v>
      </c>
      <c r="D48" s="1" t="s">
        <v>34</v>
      </c>
      <c r="E48" s="1">
        <v>20</v>
      </c>
      <c r="F48" s="1" t="s">
        <v>19</v>
      </c>
    </row>
    <row r="49" spans="1:6" x14ac:dyDescent="0.25">
      <c r="A49" s="1" t="s">
        <v>32</v>
      </c>
      <c r="B49" s="1" t="s">
        <v>33</v>
      </c>
      <c r="C49" s="1">
        <v>56</v>
      </c>
      <c r="D49" s="1" t="s">
        <v>38</v>
      </c>
      <c r="E49" s="1">
        <v>20</v>
      </c>
      <c r="F49" s="1" t="s">
        <v>19</v>
      </c>
    </row>
    <row r="50" spans="1:6" x14ac:dyDescent="0.25">
      <c r="A50" s="1" t="s">
        <v>88</v>
      </c>
      <c r="B50" s="1" t="s">
        <v>89</v>
      </c>
      <c r="C50" s="1">
        <v>57</v>
      </c>
      <c r="D50" s="1" t="s">
        <v>41</v>
      </c>
      <c r="E50" s="1">
        <v>20</v>
      </c>
      <c r="F50" s="1" t="s">
        <v>19</v>
      </c>
    </row>
    <row r="51" spans="1:6" x14ac:dyDescent="0.25">
      <c r="A51" s="1" t="s">
        <v>43</v>
      </c>
      <c r="B51" s="1" t="s">
        <v>44</v>
      </c>
      <c r="C51" s="1">
        <v>58</v>
      </c>
      <c r="D51" s="1" t="s">
        <v>45</v>
      </c>
      <c r="E51" s="1">
        <v>20</v>
      </c>
      <c r="F51" s="1" t="s">
        <v>19</v>
      </c>
    </row>
    <row r="52" spans="1:6" x14ac:dyDescent="0.25">
      <c r="A52" s="1" t="s">
        <v>102</v>
      </c>
      <c r="B52" s="1" t="s">
        <v>103</v>
      </c>
      <c r="C52" s="1">
        <v>59</v>
      </c>
      <c r="D52" s="1" t="s">
        <v>49</v>
      </c>
      <c r="E52" s="1">
        <v>20</v>
      </c>
      <c r="F52" s="1" t="s">
        <v>19</v>
      </c>
    </row>
    <row r="53" spans="1:6" x14ac:dyDescent="0.25">
      <c r="A53" s="1" t="s">
        <v>32</v>
      </c>
      <c r="B53" s="1" t="s">
        <v>33</v>
      </c>
      <c r="C53" s="1">
        <v>60</v>
      </c>
      <c r="D53" s="1" t="s">
        <v>53</v>
      </c>
      <c r="E53" s="1">
        <v>20</v>
      </c>
      <c r="F53" s="1" t="s">
        <v>19</v>
      </c>
    </row>
    <row r="54" spans="1:6" x14ac:dyDescent="0.25">
      <c r="A54" s="1" t="s">
        <v>66</v>
      </c>
      <c r="B54" s="1" t="s">
        <v>67</v>
      </c>
      <c r="C54" s="1">
        <v>61</v>
      </c>
      <c r="D54" s="1" t="s">
        <v>56</v>
      </c>
      <c r="E54" s="1">
        <v>20</v>
      </c>
      <c r="F54" s="1" t="s">
        <v>19</v>
      </c>
    </row>
    <row r="55" spans="1:6" x14ac:dyDescent="0.25">
      <c r="A55" s="1" t="s">
        <v>20</v>
      </c>
      <c r="B55" s="1" t="s">
        <v>21</v>
      </c>
      <c r="C55" s="1">
        <v>62</v>
      </c>
      <c r="D55" s="1" t="s">
        <v>59</v>
      </c>
      <c r="E55" s="1">
        <v>20</v>
      </c>
      <c r="F55" s="1" t="s">
        <v>19</v>
      </c>
    </row>
    <row r="56" spans="1:6" x14ac:dyDescent="0.25">
      <c r="A56" s="1" t="s">
        <v>10</v>
      </c>
      <c r="B56" s="1" t="s">
        <v>11</v>
      </c>
      <c r="C56" s="1">
        <v>53</v>
      </c>
      <c r="D56" s="1" t="s">
        <v>26</v>
      </c>
      <c r="E56" s="1">
        <v>20</v>
      </c>
      <c r="F56" s="1" t="s">
        <v>19</v>
      </c>
    </row>
    <row r="57" spans="1:6" x14ac:dyDescent="0.25">
      <c r="A57" s="1" t="s">
        <v>47</v>
      </c>
      <c r="B57" s="1" t="s">
        <v>48</v>
      </c>
      <c r="C57" s="1">
        <v>48</v>
      </c>
      <c r="D57" s="1" t="s">
        <v>8</v>
      </c>
      <c r="E57" s="1">
        <v>20</v>
      </c>
      <c r="F57" s="1" t="s">
        <v>19</v>
      </c>
    </row>
    <row r="58" spans="1:6" x14ac:dyDescent="0.25">
      <c r="A58" s="1" t="s">
        <v>75</v>
      </c>
      <c r="B58" s="1" t="s">
        <v>76</v>
      </c>
      <c r="C58" s="1">
        <v>49</v>
      </c>
      <c r="D58" s="1" t="s">
        <v>12</v>
      </c>
      <c r="E58" s="1">
        <v>20</v>
      </c>
      <c r="F58" s="1" t="s">
        <v>19</v>
      </c>
    </row>
    <row r="59" spans="1:6" x14ac:dyDescent="0.25">
      <c r="A59" s="1" t="s">
        <v>24</v>
      </c>
      <c r="B59" s="1" t="s">
        <v>25</v>
      </c>
      <c r="C59" s="1">
        <v>63</v>
      </c>
      <c r="D59" s="1" t="s">
        <v>62</v>
      </c>
      <c r="E59" s="1">
        <v>20</v>
      </c>
      <c r="F59" s="1" t="s">
        <v>19</v>
      </c>
    </row>
    <row r="60" spans="1:6" x14ac:dyDescent="0.25">
      <c r="A60" s="1" t="s">
        <v>54</v>
      </c>
      <c r="B60" s="1" t="s">
        <v>55</v>
      </c>
      <c r="C60" s="1">
        <v>54</v>
      </c>
      <c r="D60" s="1" t="s">
        <v>30</v>
      </c>
      <c r="E60" s="1">
        <v>21</v>
      </c>
      <c r="F60" s="1" t="s">
        <v>23</v>
      </c>
    </row>
    <row r="61" spans="1:6" x14ac:dyDescent="0.25">
      <c r="A61" s="1" t="s">
        <v>92</v>
      </c>
      <c r="B61" s="1" t="s">
        <v>93</v>
      </c>
      <c r="C61" s="1">
        <v>51</v>
      </c>
      <c r="D61" s="1" t="s">
        <v>18</v>
      </c>
      <c r="E61" s="1">
        <v>21</v>
      </c>
      <c r="F61" s="1" t="s">
        <v>23</v>
      </c>
    </row>
    <row r="62" spans="1:6" x14ac:dyDescent="0.25">
      <c r="A62" s="1" t="s">
        <v>94</v>
      </c>
      <c r="B62" s="1" t="s">
        <v>95</v>
      </c>
      <c r="C62" s="1">
        <v>55</v>
      </c>
      <c r="D62" s="1" t="s">
        <v>34</v>
      </c>
      <c r="E62" s="1">
        <v>21</v>
      </c>
      <c r="F62" s="1" t="s">
        <v>23</v>
      </c>
    </row>
    <row r="63" spans="1:6" x14ac:dyDescent="0.25">
      <c r="A63" s="1" t="s">
        <v>32</v>
      </c>
      <c r="B63" s="1" t="s">
        <v>33</v>
      </c>
      <c r="C63" s="1">
        <v>56</v>
      </c>
      <c r="D63" s="1" t="s">
        <v>38</v>
      </c>
      <c r="E63" s="1">
        <v>21</v>
      </c>
      <c r="F63" s="1" t="s">
        <v>23</v>
      </c>
    </row>
    <row r="64" spans="1:6" x14ac:dyDescent="0.25">
      <c r="A64" s="1" t="s">
        <v>88</v>
      </c>
      <c r="B64" s="1" t="s">
        <v>89</v>
      </c>
      <c r="C64" s="1">
        <v>57</v>
      </c>
      <c r="D64" s="1" t="s">
        <v>41</v>
      </c>
      <c r="E64" s="1">
        <v>21</v>
      </c>
      <c r="F64" s="1" t="s">
        <v>23</v>
      </c>
    </row>
    <row r="65" spans="1:6" x14ac:dyDescent="0.25">
      <c r="A65" s="1" t="s">
        <v>43</v>
      </c>
      <c r="B65" s="1" t="s">
        <v>44</v>
      </c>
      <c r="C65" s="1">
        <v>58</v>
      </c>
      <c r="D65" s="1" t="s">
        <v>45</v>
      </c>
      <c r="E65" s="1">
        <v>21</v>
      </c>
      <c r="F65" s="1" t="s">
        <v>23</v>
      </c>
    </row>
    <row r="66" spans="1:6" x14ac:dyDescent="0.25">
      <c r="A66" s="1" t="s">
        <v>102</v>
      </c>
      <c r="B66" s="1" t="s">
        <v>103</v>
      </c>
      <c r="C66" s="1">
        <v>59</v>
      </c>
      <c r="D66" s="1" t="s">
        <v>49</v>
      </c>
      <c r="E66" s="1">
        <v>21</v>
      </c>
      <c r="F66" s="1" t="s">
        <v>23</v>
      </c>
    </row>
    <row r="67" spans="1:6" x14ac:dyDescent="0.25">
      <c r="A67" s="1" t="s">
        <v>32</v>
      </c>
      <c r="B67" s="1" t="s">
        <v>33</v>
      </c>
      <c r="C67" s="1">
        <v>60</v>
      </c>
      <c r="D67" s="1" t="s">
        <v>53</v>
      </c>
      <c r="E67" s="1">
        <v>21</v>
      </c>
      <c r="F67" s="1" t="s">
        <v>23</v>
      </c>
    </row>
    <row r="68" spans="1:6" x14ac:dyDescent="0.25">
      <c r="A68" s="1" t="s">
        <v>66</v>
      </c>
      <c r="B68" s="1" t="s">
        <v>67</v>
      </c>
      <c r="C68" s="1">
        <v>61</v>
      </c>
      <c r="D68" s="1" t="s">
        <v>56</v>
      </c>
      <c r="E68" s="1">
        <v>21</v>
      </c>
      <c r="F68" s="1" t="s">
        <v>23</v>
      </c>
    </row>
    <row r="69" spans="1:6" x14ac:dyDescent="0.25">
      <c r="A69" s="1" t="s">
        <v>20</v>
      </c>
      <c r="B69" s="1" t="s">
        <v>21</v>
      </c>
      <c r="C69" s="1">
        <v>62</v>
      </c>
      <c r="D69" s="1" t="s">
        <v>59</v>
      </c>
      <c r="E69" s="1">
        <v>21</v>
      </c>
      <c r="F69" s="1" t="s">
        <v>23</v>
      </c>
    </row>
    <row r="70" spans="1:6" x14ac:dyDescent="0.25">
      <c r="A70" s="1" t="s">
        <v>10</v>
      </c>
      <c r="B70" s="1" t="s">
        <v>11</v>
      </c>
      <c r="C70" s="1">
        <v>53</v>
      </c>
      <c r="D70" s="1" t="s">
        <v>26</v>
      </c>
      <c r="E70" s="1">
        <v>21</v>
      </c>
      <c r="F70" s="1" t="s">
        <v>23</v>
      </c>
    </row>
    <row r="71" spans="1:6" x14ac:dyDescent="0.25">
      <c r="A71" s="1" t="s">
        <v>72</v>
      </c>
      <c r="B71" s="1" t="s">
        <v>73</v>
      </c>
      <c r="C71" s="1">
        <v>48</v>
      </c>
      <c r="D71" s="1" t="s">
        <v>8</v>
      </c>
      <c r="E71" s="1">
        <v>21</v>
      </c>
      <c r="F71" s="1" t="s">
        <v>23</v>
      </c>
    </row>
    <row r="72" spans="1:6" x14ac:dyDescent="0.25">
      <c r="A72" s="1" t="s">
        <v>75</v>
      </c>
      <c r="B72" s="1" t="s">
        <v>76</v>
      </c>
      <c r="C72" s="1">
        <v>49</v>
      </c>
      <c r="D72" s="1" t="s">
        <v>12</v>
      </c>
      <c r="E72" s="1">
        <v>21</v>
      </c>
      <c r="F72" s="1" t="s">
        <v>23</v>
      </c>
    </row>
    <row r="73" spans="1:6" x14ac:dyDescent="0.25">
      <c r="A73" s="1" t="s">
        <v>24</v>
      </c>
      <c r="B73" s="1" t="s">
        <v>25</v>
      </c>
      <c r="C73" s="1">
        <v>63</v>
      </c>
      <c r="D73" s="1" t="s">
        <v>62</v>
      </c>
      <c r="E73" s="1">
        <v>21</v>
      </c>
      <c r="F73" s="1" t="s">
        <v>23</v>
      </c>
    </row>
    <row r="74" spans="1:6" x14ac:dyDescent="0.25">
      <c r="A74" s="1" t="s">
        <v>54</v>
      </c>
      <c r="B74" s="1" t="s">
        <v>55</v>
      </c>
      <c r="C74" s="1">
        <v>54</v>
      </c>
      <c r="D74" s="1" t="s">
        <v>30</v>
      </c>
      <c r="E74" s="1">
        <v>22</v>
      </c>
      <c r="F74" s="1" t="s">
        <v>27</v>
      </c>
    </row>
    <row r="75" spans="1:6" x14ac:dyDescent="0.25">
      <c r="A75" s="1" t="s">
        <v>98</v>
      </c>
      <c r="B75" s="1" t="s">
        <v>99</v>
      </c>
      <c r="C75" s="1">
        <v>51</v>
      </c>
      <c r="D75" s="1" t="s">
        <v>18</v>
      </c>
      <c r="E75" s="1">
        <v>22</v>
      </c>
      <c r="F75" s="1" t="s">
        <v>27</v>
      </c>
    </row>
    <row r="76" spans="1:6" x14ac:dyDescent="0.25">
      <c r="A76" s="1" t="s">
        <v>84</v>
      </c>
      <c r="B76" s="1" t="s">
        <v>85</v>
      </c>
      <c r="C76" s="1">
        <v>55</v>
      </c>
      <c r="D76" s="1" t="s">
        <v>34</v>
      </c>
      <c r="E76" s="1">
        <v>22</v>
      </c>
      <c r="F76" s="1" t="s">
        <v>27</v>
      </c>
    </row>
    <row r="77" spans="1:6" x14ac:dyDescent="0.25">
      <c r="A77" s="1" t="s">
        <v>100</v>
      </c>
      <c r="B77" s="1" t="s">
        <v>101</v>
      </c>
      <c r="C77" s="1">
        <v>56</v>
      </c>
      <c r="D77" s="1" t="s">
        <v>38</v>
      </c>
      <c r="E77" s="1">
        <v>22</v>
      </c>
      <c r="F77" s="1" t="s">
        <v>27</v>
      </c>
    </row>
    <row r="78" spans="1:6" x14ac:dyDescent="0.25">
      <c r="A78" s="1" t="s">
        <v>88</v>
      </c>
      <c r="B78" s="1" t="s">
        <v>89</v>
      </c>
      <c r="C78" s="1">
        <v>57</v>
      </c>
      <c r="D78" s="1" t="s">
        <v>41</v>
      </c>
      <c r="E78" s="1">
        <v>22</v>
      </c>
      <c r="F78" s="1" t="s">
        <v>27</v>
      </c>
    </row>
    <row r="79" spans="1:6" x14ac:dyDescent="0.25">
      <c r="A79" s="1" t="s">
        <v>43</v>
      </c>
      <c r="B79" s="1" t="s">
        <v>44</v>
      </c>
      <c r="C79" s="1">
        <v>58</v>
      </c>
      <c r="D79" s="1" t="s">
        <v>45</v>
      </c>
      <c r="E79" s="1">
        <v>22</v>
      </c>
      <c r="F79" s="1" t="s">
        <v>27</v>
      </c>
    </row>
    <row r="80" spans="1:6" x14ac:dyDescent="0.25">
      <c r="A80" s="1" t="s">
        <v>20</v>
      </c>
      <c r="B80" s="1" t="s">
        <v>21</v>
      </c>
      <c r="C80" s="1">
        <v>59</v>
      </c>
      <c r="D80" s="1" t="s">
        <v>49</v>
      </c>
      <c r="E80" s="1">
        <v>22</v>
      </c>
      <c r="F80" s="1" t="s">
        <v>27</v>
      </c>
    </row>
    <row r="81" spans="1:6" x14ac:dyDescent="0.25">
      <c r="A81" s="1" t="s">
        <v>32</v>
      </c>
      <c r="B81" s="1" t="s">
        <v>33</v>
      </c>
      <c r="C81" s="1">
        <v>60</v>
      </c>
      <c r="D81" s="1" t="s">
        <v>53</v>
      </c>
      <c r="E81" s="1">
        <v>22</v>
      </c>
      <c r="F81" s="1" t="s">
        <v>27</v>
      </c>
    </row>
    <row r="82" spans="1:6" x14ac:dyDescent="0.25">
      <c r="A82" s="1" t="s">
        <v>66</v>
      </c>
      <c r="B82" s="1" t="s">
        <v>67</v>
      </c>
      <c r="C82" s="1">
        <v>61</v>
      </c>
      <c r="D82" s="1" t="s">
        <v>56</v>
      </c>
      <c r="E82" s="1">
        <v>22</v>
      </c>
      <c r="F82" s="1" t="s">
        <v>27</v>
      </c>
    </row>
    <row r="83" spans="1:6" x14ac:dyDescent="0.25">
      <c r="A83" s="1" t="s">
        <v>69</v>
      </c>
      <c r="B83" s="1" t="s">
        <v>70</v>
      </c>
      <c r="C83" s="1">
        <v>62</v>
      </c>
      <c r="D83" s="1" t="s">
        <v>59</v>
      </c>
      <c r="E83" s="1">
        <v>22</v>
      </c>
      <c r="F83" s="1" t="s">
        <v>27</v>
      </c>
    </row>
    <row r="84" spans="1:6" x14ac:dyDescent="0.25">
      <c r="A84" s="1" t="s">
        <v>10</v>
      </c>
      <c r="B84" s="1" t="s">
        <v>11</v>
      </c>
      <c r="C84" s="1">
        <v>53</v>
      </c>
      <c r="D84" s="1" t="s">
        <v>26</v>
      </c>
      <c r="E84" s="1">
        <v>22</v>
      </c>
      <c r="F84" s="1" t="s">
        <v>27</v>
      </c>
    </row>
    <row r="85" spans="1:6" x14ac:dyDescent="0.25">
      <c r="A85" s="1" t="s">
        <v>86</v>
      </c>
      <c r="B85" s="1" t="s">
        <v>87</v>
      </c>
      <c r="C85" s="1">
        <v>48</v>
      </c>
      <c r="D85" s="1" t="s">
        <v>8</v>
      </c>
      <c r="E85" s="1">
        <v>22</v>
      </c>
      <c r="F85" s="1" t="s">
        <v>27</v>
      </c>
    </row>
    <row r="86" spans="1:6" x14ac:dyDescent="0.25">
      <c r="A86" s="1" t="s">
        <v>51</v>
      </c>
      <c r="B86" s="1" t="s">
        <v>52</v>
      </c>
      <c r="C86" s="1">
        <v>49</v>
      </c>
      <c r="D86" s="1" t="s">
        <v>12</v>
      </c>
      <c r="E86" s="1">
        <v>22</v>
      </c>
      <c r="F86" s="1" t="s">
        <v>27</v>
      </c>
    </row>
    <row r="87" spans="1:6" x14ac:dyDescent="0.25">
      <c r="A87" s="1" t="s">
        <v>24</v>
      </c>
      <c r="B87" s="1" t="s">
        <v>25</v>
      </c>
      <c r="C87" s="1">
        <v>63</v>
      </c>
      <c r="D87" s="1" t="s">
        <v>62</v>
      </c>
      <c r="E87" s="1">
        <v>22</v>
      </c>
      <c r="F87" s="1" t="s">
        <v>27</v>
      </c>
    </row>
    <row r="88" spans="1:6" x14ac:dyDescent="0.25">
      <c r="A88" s="1" t="s">
        <v>54</v>
      </c>
      <c r="B88" s="1" t="s">
        <v>55</v>
      </c>
      <c r="C88" s="1">
        <v>54</v>
      </c>
      <c r="D88" s="1" t="s">
        <v>30</v>
      </c>
      <c r="E88" s="1">
        <v>23</v>
      </c>
      <c r="F88" s="1" t="s">
        <v>31</v>
      </c>
    </row>
    <row r="89" spans="1:6" x14ac:dyDescent="0.25">
      <c r="A89" s="1" t="s">
        <v>98</v>
      </c>
      <c r="B89" s="1" t="s">
        <v>99</v>
      </c>
      <c r="C89" s="1">
        <v>51</v>
      </c>
      <c r="D89" s="1" t="s">
        <v>18</v>
      </c>
      <c r="E89" s="1">
        <v>23</v>
      </c>
      <c r="F89" s="1" t="s">
        <v>31</v>
      </c>
    </row>
    <row r="90" spans="1:6" x14ac:dyDescent="0.25">
      <c r="A90" s="1" t="s">
        <v>28</v>
      </c>
      <c r="B90" s="1" t="s">
        <v>29</v>
      </c>
      <c r="C90" s="1">
        <v>55</v>
      </c>
      <c r="D90" s="1" t="s">
        <v>34</v>
      </c>
      <c r="E90" s="1">
        <v>23</v>
      </c>
      <c r="F90" s="1" t="s">
        <v>31</v>
      </c>
    </row>
    <row r="91" spans="1:6" x14ac:dyDescent="0.25">
      <c r="A91" s="1" t="s">
        <v>100</v>
      </c>
      <c r="B91" s="1" t="s">
        <v>101</v>
      </c>
      <c r="C91" s="1">
        <v>56</v>
      </c>
      <c r="D91" s="1" t="s">
        <v>38</v>
      </c>
      <c r="E91" s="1">
        <v>23</v>
      </c>
      <c r="F91" s="1" t="s">
        <v>31</v>
      </c>
    </row>
    <row r="92" spans="1:6" x14ac:dyDescent="0.25">
      <c r="A92" s="1" t="s">
        <v>88</v>
      </c>
      <c r="B92" s="1" t="s">
        <v>89</v>
      </c>
      <c r="C92" s="1">
        <v>57</v>
      </c>
      <c r="D92" s="1" t="s">
        <v>41</v>
      </c>
      <c r="E92" s="1">
        <v>23</v>
      </c>
      <c r="F92" s="1" t="s">
        <v>31</v>
      </c>
    </row>
    <row r="93" spans="1:6" x14ac:dyDescent="0.25">
      <c r="A93" s="1" t="s">
        <v>43</v>
      </c>
      <c r="B93" s="1" t="s">
        <v>44</v>
      </c>
      <c r="C93" s="1">
        <v>58</v>
      </c>
      <c r="D93" s="1" t="s">
        <v>45</v>
      </c>
      <c r="E93" s="1">
        <v>23</v>
      </c>
      <c r="F93" s="1" t="s">
        <v>31</v>
      </c>
    </row>
    <row r="94" spans="1:6" x14ac:dyDescent="0.25">
      <c r="A94" s="1" t="s">
        <v>20</v>
      </c>
      <c r="B94" s="1" t="s">
        <v>21</v>
      </c>
      <c r="C94" s="1">
        <v>59</v>
      </c>
      <c r="D94" s="1" t="s">
        <v>49</v>
      </c>
      <c r="E94" s="1">
        <v>23</v>
      </c>
      <c r="F94" s="1" t="s">
        <v>31</v>
      </c>
    </row>
    <row r="95" spans="1:6" x14ac:dyDescent="0.25">
      <c r="A95" s="1" t="s">
        <v>32</v>
      </c>
      <c r="B95" s="1" t="s">
        <v>33</v>
      </c>
      <c r="C95" s="1">
        <v>60</v>
      </c>
      <c r="D95" s="1" t="s">
        <v>53</v>
      </c>
      <c r="E95" s="1">
        <v>23</v>
      </c>
      <c r="F95" s="1" t="s">
        <v>31</v>
      </c>
    </row>
    <row r="96" spans="1:6" x14ac:dyDescent="0.25">
      <c r="A96" s="1" t="s">
        <v>66</v>
      </c>
      <c r="B96" s="1" t="s">
        <v>67</v>
      </c>
      <c r="C96" s="1">
        <v>61</v>
      </c>
      <c r="D96" s="1" t="s">
        <v>56</v>
      </c>
      <c r="E96" s="1">
        <v>23</v>
      </c>
      <c r="F96" s="1" t="s">
        <v>31</v>
      </c>
    </row>
    <row r="97" spans="1:6" x14ac:dyDescent="0.25">
      <c r="A97" s="1" t="s">
        <v>69</v>
      </c>
      <c r="B97" s="1" t="s">
        <v>70</v>
      </c>
      <c r="C97" s="1">
        <v>62</v>
      </c>
      <c r="D97" s="1" t="s">
        <v>59</v>
      </c>
      <c r="E97" s="1">
        <v>23</v>
      </c>
      <c r="F97" s="1" t="s">
        <v>31</v>
      </c>
    </row>
    <row r="98" spans="1:6" x14ac:dyDescent="0.25">
      <c r="A98" s="1" t="s">
        <v>10</v>
      </c>
      <c r="B98" s="1" t="s">
        <v>11</v>
      </c>
      <c r="C98" s="1">
        <v>53</v>
      </c>
      <c r="D98" s="1" t="s">
        <v>26</v>
      </c>
      <c r="E98" s="1">
        <v>23</v>
      </c>
      <c r="F98" s="1" t="s">
        <v>31</v>
      </c>
    </row>
    <row r="99" spans="1:6" x14ac:dyDescent="0.25">
      <c r="A99" s="1" t="s">
        <v>86</v>
      </c>
      <c r="B99" s="1" t="s">
        <v>87</v>
      </c>
      <c r="C99" s="1">
        <v>48</v>
      </c>
      <c r="D99" s="1" t="s">
        <v>8</v>
      </c>
      <c r="E99" s="1">
        <v>23</v>
      </c>
      <c r="F99" s="1" t="s">
        <v>31</v>
      </c>
    </row>
    <row r="100" spans="1:6" x14ac:dyDescent="0.25">
      <c r="A100" s="1" t="s">
        <v>51</v>
      </c>
      <c r="B100" s="1" t="s">
        <v>52</v>
      </c>
      <c r="C100" s="1">
        <v>49</v>
      </c>
      <c r="D100" s="1" t="s">
        <v>12</v>
      </c>
      <c r="E100" s="1">
        <v>23</v>
      </c>
      <c r="F100" s="1" t="s">
        <v>31</v>
      </c>
    </row>
    <row r="101" spans="1:6" x14ac:dyDescent="0.25">
      <c r="A101" s="1" t="s">
        <v>24</v>
      </c>
      <c r="B101" s="1" t="s">
        <v>25</v>
      </c>
      <c r="C101" s="1">
        <v>63</v>
      </c>
      <c r="D101" s="1" t="s">
        <v>62</v>
      </c>
      <c r="E101" s="1">
        <v>23</v>
      </c>
      <c r="F101" s="1" t="s">
        <v>31</v>
      </c>
    </row>
    <row r="102" spans="1:6" x14ac:dyDescent="0.25">
      <c r="A102" s="1" t="s">
        <v>54</v>
      </c>
      <c r="B102" s="1" t="s">
        <v>55</v>
      </c>
      <c r="C102" s="1">
        <v>54</v>
      </c>
      <c r="D102" s="1" t="s">
        <v>30</v>
      </c>
      <c r="E102" s="1">
        <v>24</v>
      </c>
      <c r="F102" s="1" t="s">
        <v>35</v>
      </c>
    </row>
    <row r="103" spans="1:6" x14ac:dyDescent="0.25">
      <c r="A103" s="1" t="s">
        <v>98</v>
      </c>
      <c r="B103" s="1" t="s">
        <v>99</v>
      </c>
      <c r="C103" s="1">
        <v>51</v>
      </c>
      <c r="D103" s="1" t="s">
        <v>18</v>
      </c>
      <c r="E103" s="1">
        <v>24</v>
      </c>
      <c r="F103" s="1" t="s">
        <v>35</v>
      </c>
    </row>
    <row r="104" spans="1:6" x14ac:dyDescent="0.25">
      <c r="A104" s="1" t="s">
        <v>86</v>
      </c>
      <c r="B104" s="1" t="s">
        <v>87</v>
      </c>
      <c r="C104" s="1">
        <v>55</v>
      </c>
      <c r="D104" s="1" t="s">
        <v>34</v>
      </c>
      <c r="E104" s="1">
        <v>24</v>
      </c>
      <c r="F104" s="1" t="s">
        <v>35</v>
      </c>
    </row>
    <row r="105" spans="1:6" x14ac:dyDescent="0.25">
      <c r="A105" s="1" t="s">
        <v>100</v>
      </c>
      <c r="B105" s="1" t="s">
        <v>101</v>
      </c>
      <c r="C105" s="1">
        <v>56</v>
      </c>
      <c r="D105" s="1" t="s">
        <v>38</v>
      </c>
      <c r="E105" s="1">
        <v>24</v>
      </c>
      <c r="F105" s="1" t="s">
        <v>35</v>
      </c>
    </row>
    <row r="106" spans="1:6" x14ac:dyDescent="0.25">
      <c r="A106" s="1" t="s">
        <v>88</v>
      </c>
      <c r="B106" s="1" t="s">
        <v>89</v>
      </c>
      <c r="C106" s="1">
        <v>57</v>
      </c>
      <c r="D106" s="1" t="s">
        <v>41</v>
      </c>
      <c r="E106" s="1">
        <v>24</v>
      </c>
      <c r="F106" s="1" t="s">
        <v>35</v>
      </c>
    </row>
    <row r="107" spans="1:6" x14ac:dyDescent="0.25">
      <c r="A107" s="1" t="s">
        <v>43</v>
      </c>
      <c r="B107" s="1" t="s">
        <v>44</v>
      </c>
      <c r="C107" s="1">
        <v>58</v>
      </c>
      <c r="D107" s="1" t="s">
        <v>45</v>
      </c>
      <c r="E107" s="1">
        <v>24</v>
      </c>
      <c r="F107" s="1" t="s">
        <v>35</v>
      </c>
    </row>
    <row r="108" spans="1:6" x14ac:dyDescent="0.25">
      <c r="A108" s="1" t="s">
        <v>20</v>
      </c>
      <c r="B108" s="1" t="s">
        <v>21</v>
      </c>
      <c r="C108" s="1">
        <v>59</v>
      </c>
      <c r="D108" s="1" t="s">
        <v>49</v>
      </c>
      <c r="E108" s="1">
        <v>24</v>
      </c>
      <c r="F108" s="1" t="s">
        <v>35</v>
      </c>
    </row>
    <row r="109" spans="1:6" x14ac:dyDescent="0.25">
      <c r="A109" s="1" t="s">
        <v>32</v>
      </c>
      <c r="B109" s="1" t="s">
        <v>33</v>
      </c>
      <c r="C109" s="1">
        <v>60</v>
      </c>
      <c r="D109" s="1" t="s">
        <v>53</v>
      </c>
      <c r="E109" s="1">
        <v>24</v>
      </c>
      <c r="F109" s="1" t="s">
        <v>35</v>
      </c>
    </row>
    <row r="110" spans="1:6" x14ac:dyDescent="0.25">
      <c r="A110" s="1" t="s">
        <v>66</v>
      </c>
      <c r="B110" s="1" t="s">
        <v>67</v>
      </c>
      <c r="C110" s="1">
        <v>61</v>
      </c>
      <c r="D110" s="1" t="s">
        <v>56</v>
      </c>
      <c r="E110" s="1">
        <v>24</v>
      </c>
      <c r="F110" s="1" t="s">
        <v>35</v>
      </c>
    </row>
    <row r="111" spans="1:6" x14ac:dyDescent="0.25">
      <c r="A111" s="1" t="s">
        <v>69</v>
      </c>
      <c r="B111" s="1" t="s">
        <v>70</v>
      </c>
      <c r="C111" s="1">
        <v>62</v>
      </c>
      <c r="D111" s="1" t="s">
        <v>59</v>
      </c>
      <c r="E111" s="1">
        <v>24</v>
      </c>
      <c r="F111" s="1" t="s">
        <v>35</v>
      </c>
    </row>
    <row r="112" spans="1:6" x14ac:dyDescent="0.25">
      <c r="A112" s="1" t="s">
        <v>10</v>
      </c>
      <c r="B112" s="1" t="s">
        <v>11</v>
      </c>
      <c r="C112" s="1">
        <v>53</v>
      </c>
      <c r="D112" s="1" t="s">
        <v>26</v>
      </c>
      <c r="E112" s="1">
        <v>24</v>
      </c>
      <c r="F112" s="1" t="s">
        <v>35</v>
      </c>
    </row>
    <row r="113" spans="1:6" x14ac:dyDescent="0.25">
      <c r="A113" s="1" t="s">
        <v>47</v>
      </c>
      <c r="B113" s="1" t="s">
        <v>48</v>
      </c>
      <c r="C113" s="1">
        <v>48</v>
      </c>
      <c r="D113" s="1" t="s">
        <v>8</v>
      </c>
      <c r="E113" s="1">
        <v>24</v>
      </c>
      <c r="F113" s="1" t="s">
        <v>35</v>
      </c>
    </row>
    <row r="114" spans="1:6" x14ac:dyDescent="0.25">
      <c r="A114" s="1" t="s">
        <v>40</v>
      </c>
      <c r="B114" s="1" t="s">
        <v>7</v>
      </c>
      <c r="C114" s="1">
        <v>49</v>
      </c>
      <c r="D114" s="1" t="s">
        <v>12</v>
      </c>
      <c r="E114" s="1">
        <v>24</v>
      </c>
      <c r="F114" s="1" t="s">
        <v>35</v>
      </c>
    </row>
    <row r="115" spans="1:6" x14ac:dyDescent="0.25">
      <c r="A115" s="1" t="s">
        <v>24</v>
      </c>
      <c r="B115" s="1" t="s">
        <v>25</v>
      </c>
      <c r="C115" s="1">
        <v>63</v>
      </c>
      <c r="D115" s="1" t="s">
        <v>62</v>
      </c>
      <c r="E115" s="1">
        <v>24</v>
      </c>
      <c r="F115" s="1" t="s">
        <v>35</v>
      </c>
    </row>
    <row r="116" spans="1:6" x14ac:dyDescent="0.25">
      <c r="A116" s="1" t="s">
        <v>54</v>
      </c>
      <c r="B116" s="1" t="s">
        <v>55</v>
      </c>
      <c r="C116" s="1">
        <v>54</v>
      </c>
      <c r="D116" s="1" t="s">
        <v>30</v>
      </c>
      <c r="E116" s="1">
        <v>25</v>
      </c>
      <c r="F116" s="1" t="s">
        <v>39</v>
      </c>
    </row>
    <row r="117" spans="1:6" x14ac:dyDescent="0.25">
      <c r="A117" s="1" t="s">
        <v>92</v>
      </c>
      <c r="B117" s="1" t="s">
        <v>93</v>
      </c>
      <c r="C117" s="1">
        <v>51</v>
      </c>
      <c r="D117" s="1" t="s">
        <v>18</v>
      </c>
      <c r="E117" s="1">
        <v>25</v>
      </c>
      <c r="F117" s="1" t="s">
        <v>39</v>
      </c>
    </row>
    <row r="118" spans="1:6" x14ac:dyDescent="0.25">
      <c r="A118" s="1" t="s">
        <v>47</v>
      </c>
      <c r="B118" s="1" t="s">
        <v>48</v>
      </c>
      <c r="C118" s="1">
        <v>55</v>
      </c>
      <c r="D118" s="1" t="s">
        <v>34</v>
      </c>
      <c r="E118" s="1">
        <v>25</v>
      </c>
      <c r="F118" s="1" t="s">
        <v>39</v>
      </c>
    </row>
    <row r="119" spans="1:6" x14ac:dyDescent="0.25">
      <c r="A119" s="1" t="s">
        <v>100</v>
      </c>
      <c r="B119" s="1" t="s">
        <v>101</v>
      </c>
      <c r="C119" s="1">
        <v>56</v>
      </c>
      <c r="D119" s="1" t="s">
        <v>38</v>
      </c>
      <c r="E119" s="1">
        <v>25</v>
      </c>
      <c r="F119" s="1" t="s">
        <v>39</v>
      </c>
    </row>
    <row r="120" spans="1:6" x14ac:dyDescent="0.25">
      <c r="A120" s="1" t="s">
        <v>88</v>
      </c>
      <c r="B120" s="1" t="s">
        <v>89</v>
      </c>
      <c r="C120" s="1">
        <v>57</v>
      </c>
      <c r="D120" s="1" t="s">
        <v>41</v>
      </c>
      <c r="E120" s="1">
        <v>25</v>
      </c>
      <c r="F120" s="1" t="s">
        <v>39</v>
      </c>
    </row>
    <row r="121" spans="1:6" x14ac:dyDescent="0.25">
      <c r="A121" s="1" t="s">
        <v>43</v>
      </c>
      <c r="B121" s="1" t="s">
        <v>44</v>
      </c>
      <c r="C121" s="1">
        <v>58</v>
      </c>
      <c r="D121" s="1" t="s">
        <v>45</v>
      </c>
      <c r="E121" s="1">
        <v>25</v>
      </c>
      <c r="F121" s="1" t="s">
        <v>39</v>
      </c>
    </row>
    <row r="122" spans="1:6" x14ac:dyDescent="0.25">
      <c r="A122" s="1" t="s">
        <v>20</v>
      </c>
      <c r="B122" s="1" t="s">
        <v>21</v>
      </c>
      <c r="C122" s="1">
        <v>59</v>
      </c>
      <c r="D122" s="1" t="s">
        <v>49</v>
      </c>
      <c r="E122" s="1">
        <v>25</v>
      </c>
      <c r="F122" s="1" t="s">
        <v>39</v>
      </c>
    </row>
    <row r="123" spans="1:6" x14ac:dyDescent="0.25">
      <c r="A123" s="1" t="s">
        <v>32</v>
      </c>
      <c r="B123" s="1" t="s">
        <v>33</v>
      </c>
      <c r="C123" s="1">
        <v>60</v>
      </c>
      <c r="D123" s="1" t="s">
        <v>53</v>
      </c>
      <c r="E123" s="1">
        <v>25</v>
      </c>
      <c r="F123" s="1" t="s">
        <v>39</v>
      </c>
    </row>
    <row r="124" spans="1:6" x14ac:dyDescent="0.25">
      <c r="A124" s="1" t="s">
        <v>66</v>
      </c>
      <c r="B124" s="1" t="s">
        <v>67</v>
      </c>
      <c r="C124" s="1">
        <v>61</v>
      </c>
      <c r="D124" s="1" t="s">
        <v>56</v>
      </c>
      <c r="E124" s="1">
        <v>25</v>
      </c>
      <c r="F124" s="1" t="s">
        <v>39</v>
      </c>
    </row>
    <row r="125" spans="1:6" x14ac:dyDescent="0.25">
      <c r="A125" s="1" t="s">
        <v>69</v>
      </c>
      <c r="B125" s="1" t="s">
        <v>70</v>
      </c>
      <c r="C125" s="1">
        <v>62</v>
      </c>
      <c r="D125" s="1" t="s">
        <v>59</v>
      </c>
      <c r="E125" s="1">
        <v>25</v>
      </c>
      <c r="F125" s="1" t="s">
        <v>39</v>
      </c>
    </row>
    <row r="126" spans="1:6" x14ac:dyDescent="0.25">
      <c r="A126" s="1" t="s">
        <v>10</v>
      </c>
      <c r="B126" s="1" t="s">
        <v>11</v>
      </c>
      <c r="C126" s="1">
        <v>53</v>
      </c>
      <c r="D126" s="1" t="s">
        <v>26</v>
      </c>
      <c r="E126" s="1">
        <v>25</v>
      </c>
      <c r="F126" s="1" t="s">
        <v>39</v>
      </c>
    </row>
    <row r="127" spans="1:6" x14ac:dyDescent="0.25">
      <c r="A127" s="1" t="s">
        <v>47</v>
      </c>
      <c r="B127" s="1" t="s">
        <v>48</v>
      </c>
      <c r="C127" s="1">
        <v>48</v>
      </c>
      <c r="D127" s="1" t="s">
        <v>8</v>
      </c>
      <c r="E127" s="1">
        <v>25</v>
      </c>
      <c r="F127" s="1" t="s">
        <v>39</v>
      </c>
    </row>
    <row r="128" spans="1:6" x14ac:dyDescent="0.25">
      <c r="A128" s="1" t="s">
        <v>40</v>
      </c>
      <c r="B128" s="1" t="s">
        <v>7</v>
      </c>
      <c r="C128" s="1">
        <v>49</v>
      </c>
      <c r="D128" s="1" t="s">
        <v>12</v>
      </c>
      <c r="E128" s="1">
        <v>25</v>
      </c>
      <c r="F128" s="1" t="s">
        <v>39</v>
      </c>
    </row>
    <row r="129" spans="1:6" x14ac:dyDescent="0.25">
      <c r="A129" s="1" t="s">
        <v>24</v>
      </c>
      <c r="B129" s="1" t="s">
        <v>25</v>
      </c>
      <c r="C129" s="1">
        <v>63</v>
      </c>
      <c r="D129" s="1" t="s">
        <v>62</v>
      </c>
      <c r="E129" s="1">
        <v>25</v>
      </c>
      <c r="F129" s="1" t="s">
        <v>39</v>
      </c>
    </row>
    <row r="130" spans="1:6" x14ac:dyDescent="0.25">
      <c r="A130" s="1" t="s">
        <v>54</v>
      </c>
      <c r="B130" s="1" t="s">
        <v>55</v>
      </c>
      <c r="C130" s="1">
        <v>54</v>
      </c>
      <c r="D130" s="1" t="s">
        <v>30</v>
      </c>
      <c r="E130" s="1">
        <v>16</v>
      </c>
      <c r="F130" s="1" t="s">
        <v>9</v>
      </c>
    </row>
    <row r="131" spans="1:6" x14ac:dyDescent="0.25">
      <c r="A131" s="1" t="s">
        <v>40</v>
      </c>
      <c r="B131" s="1" t="s">
        <v>7</v>
      </c>
      <c r="C131" s="1">
        <v>51</v>
      </c>
      <c r="D131" s="1" t="s">
        <v>18</v>
      </c>
      <c r="E131" s="1">
        <v>16</v>
      </c>
      <c r="F131" s="1" t="s">
        <v>9</v>
      </c>
    </row>
    <row r="132" spans="1:6" x14ac:dyDescent="0.25">
      <c r="A132" s="1" t="s">
        <v>72</v>
      </c>
      <c r="B132" s="1" t="s">
        <v>73</v>
      </c>
      <c r="C132" s="1">
        <v>55</v>
      </c>
      <c r="D132" s="1" t="s">
        <v>34</v>
      </c>
      <c r="E132" s="1">
        <v>16</v>
      </c>
      <c r="F132" s="1" t="s">
        <v>9</v>
      </c>
    </row>
    <row r="133" spans="1:6" x14ac:dyDescent="0.25">
      <c r="A133" s="1" t="s">
        <v>88</v>
      </c>
      <c r="B133" s="1" t="s">
        <v>89</v>
      </c>
      <c r="C133" s="1">
        <v>57</v>
      </c>
      <c r="D133" s="1" t="s">
        <v>41</v>
      </c>
      <c r="E133" s="1">
        <v>16</v>
      </c>
      <c r="F133" s="1" t="s">
        <v>9</v>
      </c>
    </row>
    <row r="134" spans="1:6" x14ac:dyDescent="0.25">
      <c r="A134" s="1" t="s">
        <v>43</v>
      </c>
      <c r="B134" s="1" t="s">
        <v>44</v>
      </c>
      <c r="C134" s="1">
        <v>58</v>
      </c>
      <c r="D134" s="1" t="s">
        <v>45</v>
      </c>
      <c r="E134" s="1">
        <v>16</v>
      </c>
      <c r="F134" s="1" t="s">
        <v>9</v>
      </c>
    </row>
    <row r="135" spans="1:6" x14ac:dyDescent="0.25">
      <c r="A135" s="1" t="s">
        <v>20</v>
      </c>
      <c r="B135" s="1" t="s">
        <v>21</v>
      </c>
      <c r="C135" s="1">
        <v>59</v>
      </c>
      <c r="D135" s="1" t="s">
        <v>49</v>
      </c>
      <c r="E135" s="1">
        <v>16</v>
      </c>
      <c r="F135" s="1" t="s">
        <v>9</v>
      </c>
    </row>
    <row r="136" spans="1:6" x14ac:dyDescent="0.25">
      <c r="A136" s="1" t="s">
        <v>32</v>
      </c>
      <c r="B136" s="1" t="s">
        <v>33</v>
      </c>
      <c r="C136" s="1">
        <v>60</v>
      </c>
      <c r="D136" s="1" t="s">
        <v>53</v>
      </c>
      <c r="E136" s="1">
        <v>16</v>
      </c>
      <c r="F136" s="1" t="s">
        <v>9</v>
      </c>
    </row>
    <row r="137" spans="1:6" x14ac:dyDescent="0.25">
      <c r="A137" s="1" t="s">
        <v>66</v>
      </c>
      <c r="B137" s="1" t="s">
        <v>67</v>
      </c>
      <c r="C137" s="1">
        <v>61</v>
      </c>
      <c r="D137" s="1" t="s">
        <v>56</v>
      </c>
      <c r="E137" s="1">
        <v>16</v>
      </c>
      <c r="F137" s="1" t="s">
        <v>9</v>
      </c>
    </row>
    <row r="138" spans="1:6" x14ac:dyDescent="0.25">
      <c r="A138" s="1" t="s">
        <v>69</v>
      </c>
      <c r="B138" s="1" t="s">
        <v>70</v>
      </c>
      <c r="C138" s="1">
        <v>62</v>
      </c>
      <c r="D138" s="1" t="s">
        <v>59</v>
      </c>
      <c r="E138" s="1">
        <v>16</v>
      </c>
      <c r="F138" s="1" t="s">
        <v>9</v>
      </c>
    </row>
    <row r="139" spans="1:6" x14ac:dyDescent="0.25">
      <c r="A139" s="1" t="s">
        <v>28</v>
      </c>
      <c r="B139" s="1" t="s">
        <v>29</v>
      </c>
      <c r="C139" s="1">
        <v>48</v>
      </c>
      <c r="D139" s="1" t="s">
        <v>8</v>
      </c>
      <c r="E139" s="1">
        <v>16</v>
      </c>
      <c r="F139" s="1" t="s">
        <v>9</v>
      </c>
    </row>
    <row r="140" spans="1:6" x14ac:dyDescent="0.25">
      <c r="A140" s="1" t="s">
        <v>24</v>
      </c>
      <c r="B140" s="1" t="s">
        <v>25</v>
      </c>
      <c r="C140" s="1">
        <v>63</v>
      </c>
      <c r="D140" s="1" t="s">
        <v>62</v>
      </c>
      <c r="E140" s="1">
        <v>16</v>
      </c>
      <c r="F140" s="1" t="s">
        <v>9</v>
      </c>
    </row>
    <row r="141" spans="1:6" x14ac:dyDescent="0.25">
      <c r="A141" s="1" t="s">
        <v>54</v>
      </c>
      <c r="B141" s="1" t="s">
        <v>55</v>
      </c>
      <c r="C141" s="1">
        <v>54</v>
      </c>
      <c r="D141" s="1" t="s">
        <v>30</v>
      </c>
      <c r="E141" s="1">
        <v>26</v>
      </c>
      <c r="F141" s="1" t="s">
        <v>42</v>
      </c>
    </row>
    <row r="142" spans="1:6" x14ac:dyDescent="0.25">
      <c r="A142" s="1" t="s">
        <v>98</v>
      </c>
      <c r="B142" s="1" t="s">
        <v>99</v>
      </c>
      <c r="C142" s="1">
        <v>51</v>
      </c>
      <c r="D142" s="1" t="s">
        <v>18</v>
      </c>
      <c r="E142" s="1">
        <v>26</v>
      </c>
      <c r="F142" s="1" t="s">
        <v>42</v>
      </c>
    </row>
    <row r="143" spans="1:6" x14ac:dyDescent="0.25">
      <c r="A143" s="1" t="s">
        <v>72</v>
      </c>
      <c r="B143" s="1" t="s">
        <v>73</v>
      </c>
      <c r="C143" s="1">
        <v>55</v>
      </c>
      <c r="D143" s="1" t="s">
        <v>34</v>
      </c>
      <c r="E143" s="1">
        <v>26</v>
      </c>
      <c r="F143" s="1" t="s">
        <v>42</v>
      </c>
    </row>
    <row r="144" spans="1:6" x14ac:dyDescent="0.25">
      <c r="A144" s="1" t="s">
        <v>88</v>
      </c>
      <c r="B144" s="1" t="s">
        <v>89</v>
      </c>
      <c r="C144" s="1">
        <v>57</v>
      </c>
      <c r="D144" s="1" t="s">
        <v>41</v>
      </c>
      <c r="E144" s="1">
        <v>26</v>
      </c>
      <c r="F144" s="1" t="s">
        <v>42</v>
      </c>
    </row>
    <row r="145" spans="1:6" x14ac:dyDescent="0.25">
      <c r="A145" s="1" t="s">
        <v>43</v>
      </c>
      <c r="B145" s="1" t="s">
        <v>44</v>
      </c>
      <c r="C145" s="1">
        <v>58</v>
      </c>
      <c r="D145" s="1" t="s">
        <v>45</v>
      </c>
      <c r="E145" s="1">
        <v>26</v>
      </c>
      <c r="F145" s="1" t="s">
        <v>42</v>
      </c>
    </row>
    <row r="146" spans="1:6" x14ac:dyDescent="0.25">
      <c r="A146" s="1" t="s">
        <v>20</v>
      </c>
      <c r="B146" s="1" t="s">
        <v>21</v>
      </c>
      <c r="C146" s="1">
        <v>59</v>
      </c>
      <c r="D146" s="1" t="s">
        <v>49</v>
      </c>
      <c r="E146" s="1">
        <v>26</v>
      </c>
      <c r="F146" s="1" t="s">
        <v>42</v>
      </c>
    </row>
    <row r="147" spans="1:6" x14ac:dyDescent="0.25">
      <c r="A147" s="1" t="s">
        <v>32</v>
      </c>
      <c r="B147" s="1" t="s">
        <v>33</v>
      </c>
      <c r="C147" s="1">
        <v>60</v>
      </c>
      <c r="D147" s="1" t="s">
        <v>53</v>
      </c>
      <c r="E147" s="1">
        <v>26</v>
      </c>
      <c r="F147" s="1" t="s">
        <v>42</v>
      </c>
    </row>
    <row r="148" spans="1:6" x14ac:dyDescent="0.25">
      <c r="A148" s="1" t="s">
        <v>66</v>
      </c>
      <c r="B148" s="1" t="s">
        <v>67</v>
      </c>
      <c r="C148" s="1">
        <v>61</v>
      </c>
      <c r="D148" s="1" t="s">
        <v>56</v>
      </c>
      <c r="E148" s="1">
        <v>26</v>
      </c>
      <c r="F148" s="1" t="s">
        <v>42</v>
      </c>
    </row>
    <row r="149" spans="1:6" x14ac:dyDescent="0.25">
      <c r="A149" s="1" t="s">
        <v>69</v>
      </c>
      <c r="B149" s="1" t="s">
        <v>70</v>
      </c>
      <c r="C149" s="1">
        <v>62</v>
      </c>
      <c r="D149" s="1" t="s">
        <v>59</v>
      </c>
      <c r="E149" s="1">
        <v>26</v>
      </c>
      <c r="F149" s="1" t="s">
        <v>42</v>
      </c>
    </row>
    <row r="150" spans="1:6" x14ac:dyDescent="0.25">
      <c r="A150" s="1" t="s">
        <v>84</v>
      </c>
      <c r="B150" s="1" t="s">
        <v>85</v>
      </c>
      <c r="C150" s="1">
        <v>48</v>
      </c>
      <c r="D150" s="1" t="s">
        <v>8</v>
      </c>
      <c r="E150" s="1">
        <v>26</v>
      </c>
      <c r="F150" s="1" t="s">
        <v>42</v>
      </c>
    </row>
    <row r="151" spans="1:6" x14ac:dyDescent="0.25">
      <c r="A151" s="1" t="s">
        <v>24</v>
      </c>
      <c r="B151" s="1" t="s">
        <v>25</v>
      </c>
      <c r="C151" s="1">
        <v>63</v>
      </c>
      <c r="D151" s="1" t="s">
        <v>62</v>
      </c>
      <c r="E151" s="1">
        <v>26</v>
      </c>
      <c r="F151" s="1" t="s">
        <v>42</v>
      </c>
    </row>
    <row r="152" spans="1:6" x14ac:dyDescent="0.25">
      <c r="A152" s="1" t="s">
        <v>54</v>
      </c>
      <c r="B152" s="1" t="s">
        <v>55</v>
      </c>
      <c r="C152" s="1">
        <v>54</v>
      </c>
      <c r="D152" s="1" t="s">
        <v>30</v>
      </c>
      <c r="E152" s="1">
        <v>27</v>
      </c>
      <c r="F152" s="1" t="s">
        <v>46</v>
      </c>
    </row>
    <row r="153" spans="1:6" x14ac:dyDescent="0.25">
      <c r="A153" s="1" t="s">
        <v>57</v>
      </c>
      <c r="B153" s="1" t="s">
        <v>58</v>
      </c>
      <c r="C153" s="1">
        <v>51</v>
      </c>
      <c r="D153" s="1" t="s">
        <v>18</v>
      </c>
      <c r="E153" s="1">
        <v>27</v>
      </c>
      <c r="F153" s="1" t="s">
        <v>46</v>
      </c>
    </row>
    <row r="154" spans="1:6" x14ac:dyDescent="0.25">
      <c r="A154" s="1" t="s">
        <v>72</v>
      </c>
      <c r="B154" s="1" t="s">
        <v>73</v>
      </c>
      <c r="C154" s="1">
        <v>55</v>
      </c>
      <c r="D154" s="1" t="s">
        <v>34</v>
      </c>
      <c r="E154" s="1">
        <v>27</v>
      </c>
      <c r="F154" s="1" t="s">
        <v>46</v>
      </c>
    </row>
    <row r="155" spans="1:6" x14ac:dyDescent="0.25">
      <c r="A155" s="1" t="s">
        <v>88</v>
      </c>
      <c r="B155" s="1" t="s">
        <v>89</v>
      </c>
      <c r="C155" s="1">
        <v>57</v>
      </c>
      <c r="D155" s="1" t="s">
        <v>41</v>
      </c>
      <c r="E155" s="1">
        <v>27</v>
      </c>
      <c r="F155" s="1" t="s">
        <v>46</v>
      </c>
    </row>
    <row r="156" spans="1:6" x14ac:dyDescent="0.25">
      <c r="A156" s="1" t="s">
        <v>43</v>
      </c>
      <c r="B156" s="1" t="s">
        <v>44</v>
      </c>
      <c r="C156" s="1">
        <v>58</v>
      </c>
      <c r="D156" s="1" t="s">
        <v>45</v>
      </c>
      <c r="E156" s="1">
        <v>27</v>
      </c>
      <c r="F156" s="1" t="s">
        <v>46</v>
      </c>
    </row>
    <row r="157" spans="1:6" x14ac:dyDescent="0.25">
      <c r="A157" s="1" t="s">
        <v>20</v>
      </c>
      <c r="B157" s="1" t="s">
        <v>21</v>
      </c>
      <c r="C157" s="1">
        <v>59</v>
      </c>
      <c r="D157" s="1" t="s">
        <v>49</v>
      </c>
      <c r="E157" s="1">
        <v>27</v>
      </c>
      <c r="F157" s="1" t="s">
        <v>46</v>
      </c>
    </row>
    <row r="158" spans="1:6" x14ac:dyDescent="0.25">
      <c r="A158" s="1" t="s">
        <v>32</v>
      </c>
      <c r="B158" s="1" t="s">
        <v>33</v>
      </c>
      <c r="C158" s="1">
        <v>60</v>
      </c>
      <c r="D158" s="1" t="s">
        <v>53</v>
      </c>
      <c r="E158" s="1">
        <v>27</v>
      </c>
      <c r="F158" s="1" t="s">
        <v>46</v>
      </c>
    </row>
    <row r="159" spans="1:6" x14ac:dyDescent="0.25">
      <c r="A159" s="1" t="s">
        <v>66</v>
      </c>
      <c r="B159" s="1" t="s">
        <v>67</v>
      </c>
      <c r="C159" s="1">
        <v>61</v>
      </c>
      <c r="D159" s="1" t="s">
        <v>56</v>
      </c>
      <c r="E159" s="1">
        <v>27</v>
      </c>
      <c r="F159" s="1" t="s">
        <v>46</v>
      </c>
    </row>
    <row r="160" spans="1:6" x14ac:dyDescent="0.25">
      <c r="A160" s="1" t="s">
        <v>69</v>
      </c>
      <c r="B160" s="1" t="s">
        <v>70</v>
      </c>
      <c r="C160" s="1">
        <v>62</v>
      </c>
      <c r="D160" s="1" t="s">
        <v>59</v>
      </c>
      <c r="E160" s="1">
        <v>27</v>
      </c>
      <c r="F160" s="1" t="s">
        <v>46</v>
      </c>
    </row>
    <row r="161" spans="1:6" x14ac:dyDescent="0.25">
      <c r="A161" s="1" t="s">
        <v>28</v>
      </c>
      <c r="B161" s="1" t="s">
        <v>29</v>
      </c>
      <c r="C161" s="1">
        <v>48</v>
      </c>
      <c r="D161" s="1" t="s">
        <v>8</v>
      </c>
      <c r="E161" s="1">
        <v>27</v>
      </c>
      <c r="F161" s="1" t="s">
        <v>46</v>
      </c>
    </row>
    <row r="162" spans="1:6" x14ac:dyDescent="0.25">
      <c r="A162" s="1" t="s">
        <v>24</v>
      </c>
      <c r="B162" s="1" t="s">
        <v>25</v>
      </c>
      <c r="C162" s="1">
        <v>63</v>
      </c>
      <c r="D162" s="1" t="s">
        <v>62</v>
      </c>
      <c r="E162" s="1">
        <v>27</v>
      </c>
      <c r="F162" s="1" t="s">
        <v>46</v>
      </c>
    </row>
    <row r="163" spans="1:6" x14ac:dyDescent="0.25">
      <c r="A163" s="1" t="s">
        <v>100</v>
      </c>
      <c r="B163" s="1" t="s">
        <v>101</v>
      </c>
      <c r="C163" s="1">
        <v>64</v>
      </c>
      <c r="D163" s="1" t="s">
        <v>65</v>
      </c>
      <c r="E163" s="1">
        <v>27</v>
      </c>
      <c r="F163" s="1" t="s">
        <v>46</v>
      </c>
    </row>
    <row r="164" spans="1:6" x14ac:dyDescent="0.25">
      <c r="A164" s="1" t="s">
        <v>54</v>
      </c>
      <c r="B164" s="1" t="s">
        <v>55</v>
      </c>
      <c r="C164" s="1">
        <v>54</v>
      </c>
      <c r="D164" s="1" t="s">
        <v>30</v>
      </c>
      <c r="E164" s="1">
        <v>28</v>
      </c>
      <c r="F164" s="1" t="s">
        <v>50</v>
      </c>
    </row>
    <row r="165" spans="1:6" x14ac:dyDescent="0.25">
      <c r="A165" s="1" t="s">
        <v>57</v>
      </c>
      <c r="B165" s="1" t="s">
        <v>58</v>
      </c>
      <c r="C165" s="1">
        <v>51</v>
      </c>
      <c r="D165" s="1" t="s">
        <v>18</v>
      </c>
      <c r="E165" s="1">
        <v>28</v>
      </c>
      <c r="F165" s="1" t="s">
        <v>50</v>
      </c>
    </row>
    <row r="166" spans="1:6" x14ac:dyDescent="0.25">
      <c r="A166" s="1" t="s">
        <v>72</v>
      </c>
      <c r="B166" s="1" t="s">
        <v>73</v>
      </c>
      <c r="C166" s="1">
        <v>55</v>
      </c>
      <c r="D166" s="1" t="s">
        <v>34</v>
      </c>
      <c r="E166" s="1">
        <v>28</v>
      </c>
      <c r="F166" s="1" t="s">
        <v>50</v>
      </c>
    </row>
    <row r="167" spans="1:6" x14ac:dyDescent="0.25">
      <c r="A167" s="1" t="s">
        <v>88</v>
      </c>
      <c r="B167" s="1" t="s">
        <v>89</v>
      </c>
      <c r="C167" s="1">
        <v>57</v>
      </c>
      <c r="D167" s="1" t="s">
        <v>41</v>
      </c>
      <c r="E167" s="1">
        <v>28</v>
      </c>
      <c r="F167" s="1" t="s">
        <v>50</v>
      </c>
    </row>
    <row r="168" spans="1:6" x14ac:dyDescent="0.25">
      <c r="A168" s="1" t="s">
        <v>43</v>
      </c>
      <c r="B168" s="1" t="s">
        <v>44</v>
      </c>
      <c r="C168" s="1">
        <v>58</v>
      </c>
      <c r="D168" s="1" t="s">
        <v>45</v>
      </c>
      <c r="E168" s="1">
        <v>28</v>
      </c>
      <c r="F168" s="1" t="s">
        <v>50</v>
      </c>
    </row>
    <row r="169" spans="1:6" x14ac:dyDescent="0.25">
      <c r="A169" s="1" t="s">
        <v>20</v>
      </c>
      <c r="B169" s="1" t="s">
        <v>21</v>
      </c>
      <c r="C169" s="1">
        <v>59</v>
      </c>
      <c r="D169" s="1" t="s">
        <v>49</v>
      </c>
      <c r="E169" s="1">
        <v>28</v>
      </c>
      <c r="F169" s="1" t="s">
        <v>50</v>
      </c>
    </row>
    <row r="170" spans="1:6" x14ac:dyDescent="0.25">
      <c r="A170" s="1" t="s">
        <v>32</v>
      </c>
      <c r="B170" s="1" t="s">
        <v>33</v>
      </c>
      <c r="C170" s="1">
        <v>60</v>
      </c>
      <c r="D170" s="1" t="s">
        <v>53</v>
      </c>
      <c r="E170" s="1">
        <v>28</v>
      </c>
      <c r="F170" s="1" t="s">
        <v>50</v>
      </c>
    </row>
    <row r="171" spans="1:6" x14ac:dyDescent="0.25">
      <c r="A171" s="1" t="s">
        <v>66</v>
      </c>
      <c r="B171" s="1" t="s">
        <v>67</v>
      </c>
      <c r="C171" s="1">
        <v>61</v>
      </c>
      <c r="D171" s="1" t="s">
        <v>56</v>
      </c>
      <c r="E171" s="1">
        <v>28</v>
      </c>
      <c r="F171" s="1" t="s">
        <v>50</v>
      </c>
    </row>
    <row r="172" spans="1:6" x14ac:dyDescent="0.25">
      <c r="A172" s="1" t="s">
        <v>69</v>
      </c>
      <c r="B172" s="1" t="s">
        <v>70</v>
      </c>
      <c r="C172" s="1">
        <v>62</v>
      </c>
      <c r="D172" s="1" t="s">
        <v>59</v>
      </c>
      <c r="E172" s="1">
        <v>28</v>
      </c>
      <c r="F172" s="1" t="s">
        <v>50</v>
      </c>
    </row>
    <row r="173" spans="1:6" x14ac:dyDescent="0.25">
      <c r="A173" s="1" t="s">
        <v>84</v>
      </c>
      <c r="B173" s="1" t="s">
        <v>85</v>
      </c>
      <c r="C173" s="1">
        <v>48</v>
      </c>
      <c r="D173" s="1" t="s">
        <v>8</v>
      </c>
      <c r="E173" s="1">
        <v>28</v>
      </c>
      <c r="F173" s="1" t="s">
        <v>50</v>
      </c>
    </row>
    <row r="174" spans="1:6" x14ac:dyDescent="0.25">
      <c r="A174" s="1" t="s">
        <v>98</v>
      </c>
      <c r="B174" s="1" t="s">
        <v>99</v>
      </c>
      <c r="C174" s="1">
        <v>49</v>
      </c>
      <c r="D174" s="1" t="s">
        <v>12</v>
      </c>
      <c r="E174" s="1">
        <v>28</v>
      </c>
      <c r="F174" s="1" t="s">
        <v>50</v>
      </c>
    </row>
    <row r="175" spans="1:6" x14ac:dyDescent="0.25">
      <c r="A175" s="1" t="s">
        <v>24</v>
      </c>
      <c r="B175" s="1" t="s">
        <v>25</v>
      </c>
      <c r="C175" s="1">
        <v>63</v>
      </c>
      <c r="D175" s="1" t="s">
        <v>62</v>
      </c>
      <c r="E175" s="1">
        <v>28</v>
      </c>
      <c r="F175" s="1" t="s">
        <v>50</v>
      </c>
    </row>
    <row r="176" spans="1:6" x14ac:dyDescent="0.25">
      <c r="A176" s="1" t="s">
        <v>100</v>
      </c>
      <c r="B176" s="1" t="s">
        <v>101</v>
      </c>
      <c r="C176" s="1">
        <v>64</v>
      </c>
      <c r="D176" s="1" t="s">
        <v>65</v>
      </c>
      <c r="E176" s="1">
        <v>28</v>
      </c>
      <c r="F176" s="1" t="s">
        <v>50</v>
      </c>
    </row>
    <row r="177" spans="1:6" x14ac:dyDescent="0.25">
      <c r="A177" s="1" t="s">
        <v>63</v>
      </c>
      <c r="B177" s="1" t="s">
        <v>64</v>
      </c>
      <c r="C177" s="1">
        <v>50</v>
      </c>
      <c r="D177" s="1" t="s">
        <v>14</v>
      </c>
      <c r="E177" s="1">
        <v>18</v>
      </c>
      <c r="F177" s="1" t="s">
        <v>13</v>
      </c>
    </row>
    <row r="178" spans="1:6" x14ac:dyDescent="0.25">
      <c r="A178" s="1" t="s">
        <v>63</v>
      </c>
      <c r="B178" s="1" t="s">
        <v>64</v>
      </c>
      <c r="C178" s="1">
        <v>50</v>
      </c>
      <c r="D178" s="1" t="s">
        <v>14</v>
      </c>
      <c r="E178" s="1">
        <v>19</v>
      </c>
      <c r="F178" s="1" t="s">
        <v>15</v>
      </c>
    </row>
    <row r="179" spans="1:6" x14ac:dyDescent="0.25">
      <c r="A179" s="1" t="s">
        <v>63</v>
      </c>
      <c r="B179" s="1" t="s">
        <v>64</v>
      </c>
      <c r="C179" s="1">
        <v>50</v>
      </c>
      <c r="D179" s="1" t="s">
        <v>14</v>
      </c>
      <c r="E179" s="1">
        <v>20</v>
      </c>
      <c r="F179" s="1" t="s">
        <v>19</v>
      </c>
    </row>
    <row r="180" spans="1:6" x14ac:dyDescent="0.25">
      <c r="A180" s="1" t="s">
        <v>63</v>
      </c>
      <c r="B180" s="1" t="s">
        <v>64</v>
      </c>
      <c r="C180" s="1">
        <v>50</v>
      </c>
      <c r="D180" s="1" t="s">
        <v>14</v>
      </c>
      <c r="E180" s="1">
        <v>21</v>
      </c>
      <c r="F180" s="1" t="s">
        <v>23</v>
      </c>
    </row>
    <row r="181" spans="1:6" x14ac:dyDescent="0.25">
      <c r="A181" s="1" t="s">
        <v>63</v>
      </c>
      <c r="B181" s="1" t="s">
        <v>64</v>
      </c>
      <c r="C181" s="1">
        <v>50</v>
      </c>
      <c r="D181" s="1" t="s">
        <v>14</v>
      </c>
      <c r="E181" s="1">
        <v>22</v>
      </c>
      <c r="F181" s="1" t="s">
        <v>27</v>
      </c>
    </row>
    <row r="182" spans="1:6" x14ac:dyDescent="0.25">
      <c r="A182" s="1" t="s">
        <v>63</v>
      </c>
      <c r="B182" s="1" t="s">
        <v>64</v>
      </c>
      <c r="C182" s="1">
        <v>50</v>
      </c>
      <c r="D182" s="1" t="s">
        <v>14</v>
      </c>
      <c r="E182" s="1">
        <v>23</v>
      </c>
      <c r="F182" s="1" t="s">
        <v>31</v>
      </c>
    </row>
    <row r="183" spans="1:6" x14ac:dyDescent="0.25">
      <c r="A183" s="1" t="s">
        <v>105</v>
      </c>
      <c r="B183" s="1" t="e">
        <v>#N/A</v>
      </c>
      <c r="C183" s="1">
        <v>52</v>
      </c>
      <c r="D183" s="1" t="s">
        <v>22</v>
      </c>
      <c r="E183" s="1">
        <v>18</v>
      </c>
      <c r="F183" s="1" t="s">
        <v>13</v>
      </c>
    </row>
    <row r="184" spans="1:6" x14ac:dyDescent="0.25">
      <c r="A184" s="1" t="s">
        <v>105</v>
      </c>
      <c r="B184" s="1" t="e">
        <v>#N/A</v>
      </c>
      <c r="C184" s="1">
        <v>52</v>
      </c>
      <c r="D184" s="1" t="s">
        <v>22</v>
      </c>
      <c r="E184" s="1">
        <v>19</v>
      </c>
      <c r="F184" s="1" t="s">
        <v>15</v>
      </c>
    </row>
    <row r="185" spans="1:6" x14ac:dyDescent="0.25">
      <c r="A185" s="1" t="s">
        <v>105</v>
      </c>
      <c r="B185" s="1" t="e">
        <v>#N/A</v>
      </c>
      <c r="C185" s="1">
        <v>52</v>
      </c>
      <c r="D185" s="1" t="s">
        <v>22</v>
      </c>
      <c r="E185" s="1">
        <v>20</v>
      </c>
      <c r="F185" s="1" t="s">
        <v>19</v>
      </c>
    </row>
    <row r="186" spans="1:6" x14ac:dyDescent="0.25">
      <c r="A186" s="1" t="s">
        <v>105</v>
      </c>
      <c r="B186" s="1" t="e">
        <v>#N/A</v>
      </c>
      <c r="C186" s="1">
        <v>52</v>
      </c>
      <c r="D186" s="1" t="s">
        <v>22</v>
      </c>
      <c r="E186" s="1">
        <v>21</v>
      </c>
      <c r="F186" s="1" t="s">
        <v>23</v>
      </c>
    </row>
    <row r="187" spans="1:6" x14ac:dyDescent="0.25">
      <c r="A187" s="1" t="s">
        <v>105</v>
      </c>
      <c r="B187" s="1" t="e">
        <v>#N/A</v>
      </c>
      <c r="C187" s="1">
        <v>52</v>
      </c>
      <c r="D187" s="1" t="s">
        <v>22</v>
      </c>
      <c r="E187" s="1">
        <v>22</v>
      </c>
      <c r="F187" s="1" t="s">
        <v>27</v>
      </c>
    </row>
    <row r="188" spans="1:6" x14ac:dyDescent="0.25">
      <c r="A188" s="1" t="s">
        <v>105</v>
      </c>
      <c r="B188" s="1" t="e">
        <v>#N/A</v>
      </c>
      <c r="C188" s="1">
        <v>52</v>
      </c>
      <c r="D188" s="1" t="s">
        <v>22</v>
      </c>
      <c r="E188" s="1">
        <v>23</v>
      </c>
      <c r="F188" s="1" t="s">
        <v>31</v>
      </c>
    </row>
    <row r="189" spans="1:6" x14ac:dyDescent="0.25">
      <c r="A189" s="1" t="s">
        <v>105</v>
      </c>
      <c r="B189" s="1" t="e">
        <v>#N/A</v>
      </c>
      <c r="C189" s="1">
        <v>52</v>
      </c>
      <c r="D189" s="1" t="s">
        <v>22</v>
      </c>
      <c r="E189" s="1">
        <v>24</v>
      </c>
      <c r="F189" s="1" t="s">
        <v>35</v>
      </c>
    </row>
    <row r="190" spans="1:6" x14ac:dyDescent="0.25">
      <c r="A190" s="1" t="s">
        <v>105</v>
      </c>
      <c r="B190" s="1" t="e">
        <v>#N/A</v>
      </c>
      <c r="C190" s="1">
        <v>52</v>
      </c>
      <c r="D190" s="1" t="s">
        <v>22</v>
      </c>
      <c r="E190" s="1">
        <v>25</v>
      </c>
      <c r="F190" s="1" t="s">
        <v>39</v>
      </c>
    </row>
    <row r="191" spans="1:6" x14ac:dyDescent="0.25">
      <c r="A191" s="1" t="s">
        <v>105</v>
      </c>
      <c r="B191" s="1" t="e">
        <v>#N/A</v>
      </c>
      <c r="C191" s="1">
        <v>52</v>
      </c>
      <c r="D191" s="1" t="s">
        <v>22</v>
      </c>
      <c r="E191" s="1">
        <v>16</v>
      </c>
      <c r="F191" s="1" t="s">
        <v>9</v>
      </c>
    </row>
    <row r="192" spans="1:6" x14ac:dyDescent="0.25">
      <c r="A192" s="1" t="s">
        <v>36</v>
      </c>
      <c r="B192" s="1" t="s">
        <v>37</v>
      </c>
      <c r="C192" s="1">
        <v>65</v>
      </c>
      <c r="D192" s="1" t="s">
        <v>68</v>
      </c>
      <c r="E192" s="1">
        <v>22</v>
      </c>
      <c r="F192" s="1" t="s">
        <v>27</v>
      </c>
    </row>
    <row r="193" spans="1:6" x14ac:dyDescent="0.25">
      <c r="A193" s="1" t="s">
        <v>36</v>
      </c>
      <c r="B193" s="1" t="s">
        <v>37</v>
      </c>
      <c r="C193" s="1">
        <v>65</v>
      </c>
      <c r="D193" s="1" t="s">
        <v>68</v>
      </c>
      <c r="E193" s="1">
        <v>23</v>
      </c>
      <c r="F193" s="1" t="s">
        <v>31</v>
      </c>
    </row>
    <row r="194" spans="1:6" x14ac:dyDescent="0.25">
      <c r="A194" s="1" t="s">
        <v>36</v>
      </c>
      <c r="B194" s="1" t="s">
        <v>37</v>
      </c>
      <c r="C194" s="1">
        <v>65</v>
      </c>
      <c r="D194" s="1" t="s">
        <v>68</v>
      </c>
      <c r="E194" s="1">
        <v>24</v>
      </c>
      <c r="F194" s="1" t="s">
        <v>35</v>
      </c>
    </row>
    <row r="195" spans="1:6" x14ac:dyDescent="0.25">
      <c r="A195" s="1" t="s">
        <v>36</v>
      </c>
      <c r="B195" s="1" t="s">
        <v>37</v>
      </c>
      <c r="C195" s="1">
        <v>65</v>
      </c>
      <c r="D195" s="1" t="s">
        <v>68</v>
      </c>
      <c r="E195" s="1">
        <v>25</v>
      </c>
      <c r="F195" s="1" t="s">
        <v>39</v>
      </c>
    </row>
    <row r="196" spans="1:6" x14ac:dyDescent="0.25">
      <c r="A196" s="1" t="s">
        <v>36</v>
      </c>
      <c r="B196" s="1" t="s">
        <v>37</v>
      </c>
      <c r="C196" s="1">
        <v>66</v>
      </c>
      <c r="D196" s="1" t="s">
        <v>71</v>
      </c>
      <c r="E196" s="1">
        <v>16</v>
      </c>
      <c r="F196" s="1" t="s">
        <v>9</v>
      </c>
    </row>
    <row r="197" spans="1:6" x14ac:dyDescent="0.25">
      <c r="A197" s="1" t="s">
        <v>36</v>
      </c>
      <c r="B197" s="1" t="s">
        <v>37</v>
      </c>
      <c r="C197" s="1">
        <v>66</v>
      </c>
      <c r="D197" s="1" t="s">
        <v>71</v>
      </c>
      <c r="E197" s="1">
        <v>26</v>
      </c>
      <c r="F197" s="1" t="s">
        <v>42</v>
      </c>
    </row>
    <row r="198" spans="1:6" x14ac:dyDescent="0.25">
      <c r="A198" s="1" t="s">
        <v>36</v>
      </c>
      <c r="B198" s="1" t="s">
        <v>37</v>
      </c>
      <c r="C198" s="1">
        <v>66</v>
      </c>
      <c r="D198" s="1" t="s">
        <v>71</v>
      </c>
      <c r="E198" s="1">
        <v>27</v>
      </c>
      <c r="F198" s="1" t="s">
        <v>46</v>
      </c>
    </row>
    <row r="199" spans="1:6" x14ac:dyDescent="0.25">
      <c r="A199" s="1" t="s">
        <v>78</v>
      </c>
      <c r="B199" s="1" t="s">
        <v>79</v>
      </c>
      <c r="C199" s="1">
        <v>67</v>
      </c>
      <c r="D199" s="1" t="s">
        <v>74</v>
      </c>
      <c r="E199" s="1">
        <v>18</v>
      </c>
      <c r="F199" s="1" t="s">
        <v>13</v>
      </c>
    </row>
    <row r="200" spans="1:6" x14ac:dyDescent="0.25">
      <c r="A200" s="1" t="s">
        <v>78</v>
      </c>
      <c r="B200" s="1" t="s">
        <v>79</v>
      </c>
      <c r="C200" s="1">
        <v>67</v>
      </c>
      <c r="D200" s="1" t="s">
        <v>74</v>
      </c>
      <c r="E200" s="1">
        <v>19</v>
      </c>
      <c r="F200" s="1" t="s">
        <v>15</v>
      </c>
    </row>
    <row r="201" spans="1:6" x14ac:dyDescent="0.25">
      <c r="A201" s="1" t="s">
        <v>78</v>
      </c>
      <c r="B201" s="1" t="s">
        <v>79</v>
      </c>
      <c r="C201" s="1">
        <v>67</v>
      </c>
      <c r="D201" s="1" t="s">
        <v>74</v>
      </c>
      <c r="E201" s="1">
        <v>20</v>
      </c>
      <c r="F201" s="1" t="s">
        <v>19</v>
      </c>
    </row>
    <row r="202" spans="1:6" x14ac:dyDescent="0.25">
      <c r="A202" s="1" t="s">
        <v>78</v>
      </c>
      <c r="B202" s="1" t="s">
        <v>79</v>
      </c>
      <c r="C202" s="1">
        <v>67</v>
      </c>
      <c r="D202" s="1" t="s">
        <v>74</v>
      </c>
      <c r="E202" s="1">
        <v>21</v>
      </c>
      <c r="F202" s="1" t="s">
        <v>23</v>
      </c>
    </row>
    <row r="203" spans="1:6" x14ac:dyDescent="0.25">
      <c r="A203" s="1" t="s">
        <v>78</v>
      </c>
      <c r="B203" s="1" t="s">
        <v>79</v>
      </c>
      <c r="C203" s="1">
        <v>67</v>
      </c>
      <c r="D203" s="1" t="s">
        <v>74</v>
      </c>
      <c r="E203" s="1">
        <v>22</v>
      </c>
      <c r="F203" s="1" t="s">
        <v>27</v>
      </c>
    </row>
    <row r="204" spans="1:6" x14ac:dyDescent="0.25">
      <c r="A204" s="1" t="s">
        <v>78</v>
      </c>
      <c r="B204" s="1" t="s">
        <v>79</v>
      </c>
      <c r="C204" s="1">
        <v>67</v>
      </c>
      <c r="D204" s="1" t="s">
        <v>74</v>
      </c>
      <c r="E204" s="1">
        <v>23</v>
      </c>
      <c r="F204" s="1" t="s">
        <v>31</v>
      </c>
    </row>
    <row r="205" spans="1:6" x14ac:dyDescent="0.25">
      <c r="A205" s="1" t="s">
        <v>78</v>
      </c>
      <c r="B205" s="1" t="s">
        <v>79</v>
      </c>
      <c r="C205" s="1">
        <v>67</v>
      </c>
      <c r="D205" s="1" t="s">
        <v>74</v>
      </c>
      <c r="E205" s="1">
        <v>24</v>
      </c>
      <c r="F205" s="1" t="s">
        <v>35</v>
      </c>
    </row>
    <row r="206" spans="1:6" x14ac:dyDescent="0.25">
      <c r="A206" s="1" t="s">
        <v>100</v>
      </c>
      <c r="B206" s="1" t="s">
        <v>101</v>
      </c>
      <c r="C206" s="1">
        <v>68</v>
      </c>
      <c r="D206" s="1" t="s">
        <v>77</v>
      </c>
      <c r="E206" s="1">
        <v>22</v>
      </c>
      <c r="F206" s="1" t="s">
        <v>27</v>
      </c>
    </row>
    <row r="207" spans="1:6" x14ac:dyDescent="0.25">
      <c r="A207" s="1" t="s">
        <v>100</v>
      </c>
      <c r="B207" s="1" t="s">
        <v>101</v>
      </c>
      <c r="C207" s="1">
        <v>68</v>
      </c>
      <c r="D207" s="1" t="s">
        <v>77</v>
      </c>
      <c r="E207" s="1">
        <v>23</v>
      </c>
      <c r="F207" s="1" t="s">
        <v>31</v>
      </c>
    </row>
    <row r="208" spans="1:6" x14ac:dyDescent="0.25">
      <c r="A208" s="1" t="s">
        <v>100</v>
      </c>
      <c r="B208" s="1" t="s">
        <v>101</v>
      </c>
      <c r="C208" s="1">
        <v>68</v>
      </c>
      <c r="D208" s="1" t="s">
        <v>77</v>
      </c>
      <c r="E208" s="1">
        <v>24</v>
      </c>
      <c r="F208" s="1" t="s">
        <v>35</v>
      </c>
    </row>
    <row r="209" spans="1:6" x14ac:dyDescent="0.25">
      <c r="A209" s="1" t="s">
        <v>100</v>
      </c>
      <c r="B209" s="1" t="s">
        <v>101</v>
      </c>
      <c r="C209" s="1">
        <v>69</v>
      </c>
      <c r="D209" s="1" t="s">
        <v>80</v>
      </c>
      <c r="E209" s="1">
        <v>18</v>
      </c>
      <c r="F209" s="1" t="s">
        <v>13</v>
      </c>
    </row>
    <row r="210" spans="1:6" x14ac:dyDescent="0.25">
      <c r="A210" s="1" t="s">
        <v>100</v>
      </c>
      <c r="B210" s="1" t="s">
        <v>101</v>
      </c>
      <c r="C210" s="1">
        <v>69</v>
      </c>
      <c r="D210" s="1" t="s">
        <v>80</v>
      </c>
      <c r="E210" s="1">
        <v>19</v>
      </c>
      <c r="F210" s="1" t="s">
        <v>15</v>
      </c>
    </row>
    <row r="211" spans="1:6" x14ac:dyDescent="0.25">
      <c r="A211" s="1" t="s">
        <v>100</v>
      </c>
      <c r="B211" s="1" t="s">
        <v>101</v>
      </c>
      <c r="C211" s="1">
        <v>69</v>
      </c>
      <c r="D211" s="1" t="s">
        <v>80</v>
      </c>
      <c r="E211" s="1">
        <v>20</v>
      </c>
      <c r="F211" s="1" t="s">
        <v>19</v>
      </c>
    </row>
    <row r="212" spans="1:6" x14ac:dyDescent="0.25">
      <c r="A212" s="1" t="s">
        <v>100</v>
      </c>
      <c r="B212" s="1" t="s">
        <v>101</v>
      </c>
      <c r="C212" s="1">
        <v>69</v>
      </c>
      <c r="D212" s="1" t="s">
        <v>80</v>
      </c>
      <c r="E212" s="1">
        <v>21</v>
      </c>
      <c r="F212" s="1" t="s">
        <v>23</v>
      </c>
    </row>
    <row r="213" spans="1:6" x14ac:dyDescent="0.25">
      <c r="A213" s="1" t="s">
        <v>100</v>
      </c>
      <c r="B213" s="1" t="s">
        <v>101</v>
      </c>
      <c r="C213" s="1">
        <v>70</v>
      </c>
      <c r="D213" s="1" t="s">
        <v>83</v>
      </c>
      <c r="E213" s="1">
        <v>28</v>
      </c>
      <c r="F213" s="1" t="s">
        <v>50</v>
      </c>
    </row>
    <row r="214" spans="1:6" x14ac:dyDescent="0.25">
      <c r="A214" s="1" t="s">
        <v>92</v>
      </c>
      <c r="B214" s="1" t="s">
        <v>93</v>
      </c>
      <c r="C214" s="1">
        <v>64</v>
      </c>
      <c r="D214" s="1" t="s">
        <v>65</v>
      </c>
      <c r="E214" s="1">
        <v>16</v>
      </c>
      <c r="F214" s="1" t="s">
        <v>9</v>
      </c>
    </row>
    <row r="215" spans="1:6" x14ac:dyDescent="0.25">
      <c r="A215" s="1" t="s">
        <v>92</v>
      </c>
      <c r="B215" s="1" t="s">
        <v>93</v>
      </c>
      <c r="C215" s="1">
        <v>64</v>
      </c>
      <c r="D215" s="1" t="s">
        <v>65</v>
      </c>
      <c r="E215" s="1">
        <v>26</v>
      </c>
      <c r="F215" s="1" t="s">
        <v>42</v>
      </c>
    </row>
    <row r="216" spans="1:6" x14ac:dyDescent="0.25">
      <c r="A216" s="1" t="s">
        <v>92</v>
      </c>
      <c r="B216" s="1" t="s">
        <v>93</v>
      </c>
      <c r="C216" s="1">
        <v>67</v>
      </c>
      <c r="D216" s="1" t="s">
        <v>74</v>
      </c>
      <c r="E216" s="1">
        <v>16</v>
      </c>
      <c r="F216" s="1" t="s">
        <v>9</v>
      </c>
    </row>
    <row r="217" spans="1:6" x14ac:dyDescent="0.25">
      <c r="A217" s="1" t="s">
        <v>92</v>
      </c>
      <c r="B217" s="1" t="s">
        <v>93</v>
      </c>
      <c r="C217" s="1">
        <v>67</v>
      </c>
      <c r="D217" s="1" t="s">
        <v>74</v>
      </c>
      <c r="E217" s="1">
        <v>26</v>
      </c>
      <c r="F217" s="1" t="s">
        <v>42</v>
      </c>
    </row>
    <row r="218" spans="1:6" x14ac:dyDescent="0.25">
      <c r="A218" s="1" t="s">
        <v>92</v>
      </c>
      <c r="B218" s="1" t="s">
        <v>93</v>
      </c>
      <c r="C218" s="1">
        <v>67</v>
      </c>
      <c r="D218" s="1" t="s">
        <v>74</v>
      </c>
      <c r="E218" s="1">
        <v>27</v>
      </c>
      <c r="F218" s="1" t="s">
        <v>46</v>
      </c>
    </row>
    <row r="219" spans="1:6" x14ac:dyDescent="0.25">
      <c r="A219" s="1" t="s">
        <v>92</v>
      </c>
      <c r="B219" s="1" t="s">
        <v>93</v>
      </c>
      <c r="C219" s="1">
        <v>67</v>
      </c>
      <c r="D219" s="1" t="s">
        <v>74</v>
      </c>
      <c r="E219" s="1">
        <v>28</v>
      </c>
      <c r="F219" s="1" t="s">
        <v>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modelo_ofertas_fcm</vt:lpstr>
      <vt:lpstr>Plan1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PCLEI14</dc:creator>
  <cp:lastModifiedBy>PCLEI14</cp:lastModifiedBy>
  <dcterms:created xsi:type="dcterms:W3CDTF">2025-11-18T11:27:12Z</dcterms:created>
  <dcterms:modified xsi:type="dcterms:W3CDTF">2025-11-18T12:16:02Z</dcterms:modified>
</cp:coreProperties>
</file>